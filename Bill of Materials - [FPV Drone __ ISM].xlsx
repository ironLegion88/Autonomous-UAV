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oM" sheetId="1" r:id="rId5"/>
    <sheet state="visible" name="Meta" sheetId="2" r:id="rId6"/>
  </sheets>
  <definedNames>
    <definedName hidden="1" localSheetId="0" name="_xlnm._FilterDatabase">BoM!$A$1:$I$58</definedName>
  </definedNames>
  <calcPr/>
</workbook>
</file>

<file path=xl/sharedStrings.xml><?xml version="1.0" encoding="utf-8"?>
<sst xmlns="http://schemas.openxmlformats.org/spreadsheetml/2006/main" count="238" uniqueCount="155">
  <si>
    <t>Sl. No.</t>
  </si>
  <si>
    <t xml:space="preserve">Item </t>
  </si>
  <si>
    <t>Qty</t>
  </si>
  <si>
    <t>Cost per Unit</t>
  </si>
  <si>
    <t>Total Est. Cost (₹)</t>
  </si>
  <si>
    <t xml:space="preserve">Vendor </t>
  </si>
  <si>
    <t>Link</t>
  </si>
  <si>
    <t>Status</t>
  </si>
  <si>
    <t>Backup links</t>
  </si>
  <si>
    <t>Samsung EVO Plus 64GB</t>
  </si>
  <si>
    <t>Amazon</t>
  </si>
  <si>
    <t>https://www.amazon.in/SAMSUNG-Adaptor-Expanded-Storage-MB-MC64SA/dp/B0CXJ5Q222/ref=sr_1_10?crid=32ZO4858CBTD&amp;dib=eyJ2IjoiMSJ9.Mt4czCOaEqwey1DiU9AOAQJXKjtNKIHky3DYiULkKb3eIUyZabPX64BJ4ZmmAZ1XDrfiHvYqGKtkW2sPEbe9OOwgzoxkSSf-zNc3Q4kE92JfGNv8zoUV-DWNJ_w_E8PBt9kSZlmGSNZLcCsuMNU_I5_SUO3g1KbwGngZSAhGkfNa2hJz9qh6pVE_4YiLle11yIU37TZ3VW7J5flyIWUHZOsYtHnFxPP6kL6Er4OoVX0.Llvi5upFMKUH1Wd-OVOJtPZgE4RUdzNEoq6Zp4LX-qE&amp;dib_tag=se&amp;keywords=64gb%2Bsd%2Bcard&amp;qid=1774262810&amp;sprefix=64gb%2Bsd%2Bcard%2Caps%2C403&amp;sr=8-10&amp;th=1</t>
  </si>
  <si>
    <t>Received</t>
  </si>
  <si>
    <t>https://www.amazon.in/SanDisk-Extreme-microSD-Smartphones-Action/dp/B0B2DD66GS/ref=sr_1_9?crid=3U1E8QNVRLJ2D&amp;dib=eyJ2IjoiMSJ9.mMSb6UU0AwcQij5WL0v2ghW3uwc4BqrU-dkS4f8uUxkX73MQLxxoRuAbYpi18DRvCDgEFQ7Zya_dVaQYo60fCdh0_u_VShhgIp213U-QpEqRc3wMAzeWZmmvGK7ORtuegMmyoIgEKkKh2kxfupb176QpTsYb4P9jqAS2WPzyvcqxzyGDTnuFkAX91zOybNMqMIQag1_C5s3aNM0XcB5iYgXH4DA4sU3VlayjQ2-GvE8.-RC_RSr3IMdD24U1FYaZ-Fh0K0kPwIxl9TJfatwKrjs&amp;dib_tag=se&amp;keywords=64gb%2Bsd%2Bcard&amp;qid=1773233852&amp;refinements=p_123%3A110452%7C46655&amp;rnid=91049095031&amp;sprefix=64gb%2Bsd%2Bcard%2Caps%2C371&amp;sr=8-9&amp;th=1</t>
  </si>
  <si>
    <t>Electronic Spices 2.5mm X 200mm Black Color Multi-purpose Self Locking Nylon 66 Industrial Grade Cable Tie (Pack of 100pcs)</t>
  </si>
  <si>
    <t>https://www.amazon.in/Electronic-Spices-Multi-purpose-Locking-Industrial/dp/B0BKVX91GM?th=1</t>
  </si>
  <si>
    <t>Voltify USB Type-C 4 Pin Female Connector Breakout</t>
  </si>
  <si>
    <t>https://hubtronics.in/usb-type-c-4pin-female-connector-breakout?search=USB%20Type%20C%20Female%20Breakout</t>
  </si>
  <si>
    <t>https://robu.in/product/5cm-ipex1-to-sma-female-connector-cable-11mm-rg178/</t>
  </si>
  <si>
    <t>HGLRC KRATOS Fireproof Lipo Bag</t>
  </si>
  <si>
    <t>https://www.quadkart.in/hglrc-kratos-fireproof-lipo-bag/</t>
  </si>
  <si>
    <t>Long Range RP-SMA 5.8G 14dBi Panel Antenna</t>
  </si>
  <si>
    <t>FlyRobo</t>
  </si>
  <si>
    <t>https://www.flyrobo.in/long-range-rp-sma-5.8g-14dbi-panel-antenna?tracking=ads&amp;srsltid=AfmBOoovb6TysWfzLTvdJIqvAd-oOY5zdHEZeXIMXY_VI6Loqb1XoIlqvBQ</t>
  </si>
  <si>
    <t>LB-LINK BL-M8812EU2 5GHz Single Band Wi-Fi Module - Based on RTL8812EU - IEEE 802.11a/n/ac Standard</t>
  </si>
  <si>
    <t>Hubtronics</t>
  </si>
  <si>
    <t>https://hubtronics.in/BL-M8812EU2?srsltid=AfmBOoo-tgJgEWvkFb2rlYtK-Bz4nmuhFbup6ZlJbJxssyYARZnynr5_</t>
  </si>
  <si>
    <t>USB 3.1 Type C 4 Pin Male Breakout Board - Right Angle</t>
  </si>
  <si>
    <t>https://hubtronics.in/right-angle-usb-3-1?srsltid=AfmBOoo5aZtTyM3beYUa10zXP3wvxcGz45W16BRONFI4GhyKVqpoPkjL2bE</t>
  </si>
  <si>
    <t>Hyncdz 2200uF/ 50V 16x30mm 105°C Electrolytic Capacitor</t>
  </si>
  <si>
    <t>https://hubtronics.in/2200uf-50v-capacitor?search=uF%20capacitor&amp;limit=100</t>
  </si>
  <si>
    <t>M3 X 10mm Hex (Allen) CSK SS 304 Screw (Dia. 3mm, Length 10mm)</t>
  </si>
  <si>
    <t>OnlyScrews</t>
  </si>
  <si>
    <t>https://onlyscrews.in/products/hex-allen-csk-m3-x-10-screw-pack-of-21</t>
  </si>
  <si>
    <t>M3 X 12mm Hex (Allen) CSK SS 304 Screw (Dia. 3mm, Length 12mm)</t>
  </si>
  <si>
    <t>https://onlyscrews.in/products/hex-allen-csk-m3-x-10-screw-pack-of-20</t>
  </si>
  <si>
    <t>M3 X 16mm Hex (Allen) CSK SS 304 Screw (Dia. 3mm, Length 16mm)</t>
  </si>
  <si>
    <t>https://onlyscrews.in/products/hex-allen-csk-m3-x-16-screw-pack-of-20</t>
  </si>
  <si>
    <t>M3 X 10mm Hex (Allen) Socket Head SS 304 Screw (Dia. 3mm, Length 10mm) DIN 912</t>
  </si>
  <si>
    <t>https://onlyscrews.in/products/hex-allen-socket-head-m3-x-10-screw-pack-of-20</t>
  </si>
  <si>
    <t>M3 X 12mm Hex (Allen) Socket Head High Tensile(12.9) Black oxide screw (Dia. 3mm, Length 12mm)</t>
  </si>
  <si>
    <t>https://onlyscrews.in/products/m3-x-12mm-hex-allen-socket-head-high-tensile12-9-black-anodized-screw</t>
  </si>
  <si>
    <t>M3 X 16mm Hex (Allen) Socket Head High Tensile(12.9) Black oxide screw (Dia. 3mm, Length 16mm)</t>
  </si>
  <si>
    <t>https://onlyscrews.in/products/m3-x-16mm-hex-allen-socket-head-high-tensile12-9-black-anodized-screw</t>
  </si>
  <si>
    <t>M3 Hex Nut SS304 (Dia. 3mm)</t>
  </si>
  <si>
    <t>https://onlyscrews.in/products/m3-nut-ss-304</t>
  </si>
  <si>
    <t>2.5mm x 100mm (4 inch) White color Multi-purpose Self locking Nylon Industrial grade cable zip tie</t>
  </si>
  <si>
    <t>https://onlyscrews.in/products/2-5mm-x-100mm-white-color-multi-purpose-self-locking-nylon-industrial-grade-cable-zip-tie</t>
  </si>
  <si>
    <t>3.6mm x 200mm (8 inch) White color Multi-purpose Self locking Nylon Industrial grade cable zip tie</t>
  </si>
  <si>
    <t>https://onlyscrews.in/products/3-6mm-x-2000mm-8-inch-white-color-multi-purpose-self-locking-nylon-industrial-grade-cable-zip-tie-copy</t>
  </si>
  <si>
    <t>SkyStars H7 HD Dual Gyro + KM60 BLHeli_32 ESC 30×30 Stack</t>
  </si>
  <si>
    <t>Quadkart</t>
  </si>
  <si>
    <t>https://www.quadkart.in/skystars-h7-hd-dual-gyro-km60-blheli-32-esc-30x30-stack/</t>
  </si>
  <si>
    <t>Anti Vibration Landing Pads (Pack of 50)</t>
  </si>
  <si>
    <t>https://www.quadkart.in/anti-vibration-landing-pads-pack-of-4/</t>
  </si>
  <si>
    <t>Vimana Kevlar Lipo Strap – 240x20mm (1pcs)</t>
  </si>
  <si>
    <t>https://www.quadkart.in/vimana-kevlar-lipo-strap-240x20mm-1pcs/</t>
  </si>
  <si>
    <t>RushFPV RUSH BLADE Power Filter Board</t>
  </si>
  <si>
    <t>https://www.quadkart.in/rushfpv-rush-blade-power-filter-board/</t>
  </si>
  <si>
    <t>Gemfan Floppy Proppy F6030 3-Blade Propeller (Set of 4)</t>
  </si>
  <si>
    <t>https://www.quadkart.in/gemfan-floppy-proppy-f6030-3-blade-propeller-set-of-4/</t>
  </si>
  <si>
    <t>Gemfan LR 6026-2 for Long range (Set of 4)</t>
  </si>
  <si>
    <t>https://www.quadkart.in/gemfan-lr-6026-2-for-long-range-2cw2ccw/</t>
  </si>
  <si>
    <t>Gemfan Floppy Proppy F6030 2-Blade Propeller (Set of 4)</t>
  </si>
  <si>
    <t>https://www.quadkart.in/gemfan-floppy-proppy-f6030-2-blade-propeller-set-of-4/</t>
  </si>
  <si>
    <t>Amass XT60H Connector (1 Pair)</t>
  </si>
  <si>
    <t>https://www.quadkart.in/amass-xt60h-connector-1-pair/</t>
  </si>
  <si>
    <t>7mm Heat Shrink Sleeve Black (1meter)</t>
  </si>
  <si>
    <t>https://www.quadkart.in/7mm-heat-shrink-sleeve-black-1meter/</t>
  </si>
  <si>
    <t>Raspberry Pi 4 Model B</t>
  </si>
  <si>
    <t>Rees52</t>
  </si>
  <si>
    <t>https://rees52.com/products/raspberry-pi-4-model-b-1gb-2gb-4gb-8gb-lpddr4-sdram-raspberry-pi-4b?variant=43607452156071</t>
  </si>
  <si>
    <t>https://rees52.com/products/raspberry-pi-4-basic-starter-kit-includes-pi-4-board-case-power-supply?variant=46790436978855</t>
  </si>
  <si>
    <t>Raspberry Pi Camera Module 3</t>
  </si>
  <si>
    <t>https://rees52.com/products/raspberry-pi-camera-module-3-with-75-120-12mp-sony-imx708-image-sensor?_pos=1&amp;_sid=e6e6e7ff3&amp;_ss=r</t>
  </si>
  <si>
    <t>https://robu.in/product/raspberry-pi-camera-module-3/</t>
  </si>
  <si>
    <t>4 In 1 Aluminum Heatsink For Raspberry Pi 4 Model B - Blue - RS2645</t>
  </si>
  <si>
    <t>https://rees52.com/products/4-in-1-aluminum-heatsink-for-raspberry-pi-4-model-b-blue-rs2645?_pos=9&amp;_sid=426e5b002&amp;_ss=r</t>
  </si>
  <si>
    <t>4 In 1 Aluminum Heatsink For Raspberry Pi 4 Model B - Green - RS2644</t>
  </si>
  <si>
    <t>https://rees52.com/products/4-in-1-aluminum-heatsink-for-raspberry-pi-4-model-b-green-rs2644?_pos=8&amp;_sid=426e5b002&amp;_ss=r</t>
  </si>
  <si>
    <t>Metal Aluminum Alloy Raspberry Pi 4 Armor Case Cooling Heatsink With Fan For Pi 4 Model/Pi 4B- Gold - RS2437</t>
  </si>
  <si>
    <t>https://rees52.com/products/metal-aluminum-alloy-raspberry-pi-4-armor-case-cooling-heatsink-with-fan-for-pi-4-model-pi-4b-gold-rs2437?_pos=17&amp;_sid=426e5b002&amp;_ss=r</t>
  </si>
  <si>
    <t>USB Type A Female Breakout Board 2.54mm Pitch 4P Adapter Connector DIP Socket Breakout Board for Power Supply - RS2898</t>
  </si>
  <si>
    <t>https://rees52.com/products/usb-type-a-female-breakout-board-2-54mm-pitch-4p-adapter-connector-dip-socket-breakout-board-for-power-supply-rs2898?variant=43607653712039&amp;country=IN&amp;currency=INR&amp;utm_medium=product_sync&amp;utm_source=google&amp;utm_content=sag_organic&amp;utm_campaign=sag_organic&amp;srsltid=AfmBOop621iia4LjOBKyJRxDjhjPL95zevIuojLGb7afyAm6BbjY3GqNqho</t>
  </si>
  <si>
    <t>SMA to UFL Connector SMA Female to UFL Connector - 10cm</t>
  </si>
  <si>
    <t>https://rees52.com/products/sma-to-ufl-connector-sma-female-to-ufl-connector-10cm-rs5501?variant=44325097210023&amp;country=IN&amp;currency=INR&amp;utm_medium=product_sync&amp;utm_source=google&amp;utm_content=sag_organic&amp;utm_campaign=sag_organic&amp;srsltid=AfmBOop4WM7dgXo-8_xHVVKoL1vFjq3HuP4uYIDxfOwUlAg_yOyIMBLsMqA</t>
  </si>
  <si>
    <t>1500uF / 25V 13x20mm (105) L-Type Electrolytic Capacitor - Aishi</t>
  </si>
  <si>
    <t>Robu</t>
  </si>
  <si>
    <t>https://hubtronics.in/1500uf-25v-capacitor-aishi?search=uF%20capacitor&amp;limit=100</t>
  </si>
  <si>
    <t>eSUN 1.75mm eASA 3D Printing Filament 1kg-Black</t>
  </si>
  <si>
    <t>https://robu.in/product/esun-1-75mm-easa-3d-printing-filament-1kg-black/</t>
  </si>
  <si>
    <t>RadioMaster Pocket - ELRS Controller</t>
  </si>
  <si>
    <t>https://robu.in/product/radiomaster-pocket-radio-controller-elrs-charcoal/</t>
  </si>
  <si>
    <t>Pro-Range A Grade INR 21700-P45B 14.8V 4500mAh 10C 4S1P 40A/45A Discharge Li-ion Drone Battery Pack with Twin Connector</t>
  </si>
  <si>
    <t>https://robu.in/product/pro-range-inr-21700-p45b-14-8v-4500mah-4s1p-40a-45a-discharge-li-ion-drone-battery-pack/</t>
  </si>
  <si>
    <t>https://robu.in/product/pro-range-inr-18650-p28a-14-8v-2800mah-4s1p-30a-35a-discharge-li-ion-drone-battery-pack/</t>
  </si>
  <si>
    <t>Samsung A Grade INR 21700-50S 14.8V 10000mAh 9C 4S2P 70A/90A Discharge Li-ion Drone Battery Pack for FPV Drone</t>
  </si>
  <si>
    <t>https://robu.in/product/samsung-agrade-inr-21700-li-ion-drone-battery-pack/</t>
  </si>
  <si>
    <t>https://robu.in/product/pro-range-inr-21700-p45b-14-8v-9000mah-4s2p-70a-90a-discharge-li-ion-drone-battery-pack/</t>
  </si>
  <si>
    <t>Emax ECOII-2807-1500KV Brushless Motor</t>
  </si>
  <si>
    <t>https://robu.in/product/emax-ecoii-2807-1500kv-brushless-motor/</t>
  </si>
  <si>
    <t>https://www.quadkart.in/amax-competition-2306-motor/</t>
  </si>
  <si>
    <t>Radiomaster RP4TD-M ExpressLRS 2.4GHz Mini True Diversity Receiver</t>
  </si>
  <si>
    <t>https://robu.in/product/radiomaster-rp4td-expresslrs-2-4ghz-diversity-receiver/</t>
  </si>
  <si>
    <t>https://www.quadkart.in/radiomaster-rp4td-m-expresslrs-2-4ghz-mini-true-diversity-receiver/</t>
  </si>
  <si>
    <t>HGLRC M100 PRO GPS</t>
  </si>
  <si>
    <t>https://robu.in/product/hglrc-m100-pro-gps/</t>
  </si>
  <si>
    <t>https://robu.in/product/foxeer-m10q-250-gps-5883-compass/</t>
  </si>
  <si>
    <t>XH-M404 DC 4-40V 8A Voltage Regulator Module Digital PWM Adjustabl DC-DC Step Down Voltage Regulator DC XL4016E1</t>
  </si>
  <si>
    <t>https://robu.in/product/xl4016e1-200w-step-down-power-supply-module/</t>
  </si>
  <si>
    <t>2400 MHz &amp; 5500 MHz 3/5 dBi Gain Rubber Duck Antenna</t>
  </si>
  <si>
    <t>https://robu.in/product/2400-mhz-5500-mhz-3-5-dbi-gain-rubber-duck-antenna/</t>
  </si>
  <si>
    <t>Pro-Range Propellers 6042(60X4.2) Flash Durable 2CW+2CCW 2 Pair-Ferrari Red</t>
  </si>
  <si>
    <t>https://robu.in/product/orange-hd-604260x4-2-flash-durable-propeller-2cw2ccw-2-pair-ferrari-red/</t>
  </si>
  <si>
    <t>M3x30mm Female to Female Brass Hex Threaded Pillar Standoff Spacer (12Pcs)</t>
  </si>
  <si>
    <t>https://robu.in/product/m3-x-30mm-female-to-female-brass-hex-threaded-pillar-standoff-spacer-12-pcs/</t>
  </si>
  <si>
    <t>1-8S Lipo Battery Voltage Tester</t>
  </si>
  <si>
    <t>https://robu.in/product/1-8s-lipo-battery-voltage-tester/</t>
  </si>
  <si>
    <t>Drone Rubber Damper 12*4*11.7mm (Pack of 4)</t>
  </si>
  <si>
    <t>https://robu.in/product/drone-rubber-damper-12411-7mm-pack-of-4/?gad_source=1&amp;gad_campaignid=17419548928&amp;gbraid=0AAAAADvLFWecsdg0OQHRX9zMJ9acP4_oB&amp;gclid=CjwKCAjwjtTNBhB0EiwAuswYhql6fRvCF5POwxC_Iy-pwcswaho8KARwmcpMmgDU3j2bIPBO3x-KuhoC5-IQAvD_BwE</t>
  </si>
  <si>
    <t>Nylon 8mm Expandable Braided Sleeve for Wire Protection-2M Length</t>
  </si>
  <si>
    <t>https://robu.in/product/nylon-8mm-expandable-braided-sleeve-for-wire-protection-2m-length/</t>
  </si>
  <si>
    <t>12AWG High Quality Ultra Flexible Silicone Wire – red</t>
  </si>
  <si>
    <t>https://robu.in/product/high-quality-ultra-flexible-12awg-silicone-wire-red/</t>
  </si>
  <si>
    <t>12AWG High Quality Ultra Flexible Silicone Wire – White</t>
  </si>
  <si>
    <t>https://robu.in/product/high-quality-ultra-flexible-12awg-silicone-wire-white/</t>
  </si>
  <si>
    <t>18AWG High Quality Ultra Flexible Silicone Wire – Black</t>
  </si>
  <si>
    <t>https://robu.in/product/high-quality-ultra-flexible-18awg-silicone-wire-black/</t>
  </si>
  <si>
    <t>18AWG High Quality Ultra Flexible Silicone Wire – Red</t>
  </si>
  <si>
    <t>https://robu.in/product/high-quality-ultra-flexible-18awg-silicone-wire-red/</t>
  </si>
  <si>
    <t>26AWG High Quality Ultra Flexible Silicone Wire – Red</t>
  </si>
  <si>
    <t>https://robu.in/product/high-quality-ultra-flexible-26awg-silicone-wire-1000m-red/</t>
  </si>
  <si>
    <t>26AWG High Quality Ultra Flexible Silicone Wire – Black</t>
  </si>
  <si>
    <t>https://robu.in/product/high-quality-ultra-flexible-26awg-silicone-wire-1000m-black/</t>
  </si>
  <si>
    <t>Flywoo 3PCS Flywoo Ultra Grip Fpv battery Pad</t>
  </si>
  <si>
    <t>https://robu.in/product/flywoo-3pcs-flywoo-ultra-grip-fpv-battery-pad/</t>
  </si>
  <si>
    <t>Total</t>
  </si>
  <si>
    <t>Categories</t>
  </si>
  <si>
    <t>Description</t>
  </si>
  <si>
    <t>Electronics</t>
  </si>
  <si>
    <t>Components, PCBs, microcontrollers, displays</t>
  </si>
  <si>
    <t>Mechanical</t>
  </si>
  <si>
    <t>Structural elements, fasteners, enclosures</t>
  </si>
  <si>
    <t>Power</t>
  </si>
  <si>
    <t>Batteries, power supplies, converters</t>
  </si>
  <si>
    <t>Sensors/Input</t>
  </si>
  <si>
    <t>All sensing components</t>
  </si>
  <si>
    <t>Actuators/Output</t>
  </si>
  <si>
    <t>Motors, servos, displays, speakers</t>
  </si>
  <si>
    <t>Consumables</t>
  </si>
  <si>
    <t>Materials that get used up (filament, wire, solder, adhesives)</t>
  </si>
  <si>
    <t>Tools</t>
  </si>
  <si>
    <t>Equipment needed to complete the project (skip cost column for this)</t>
  </si>
  <si>
    <t>Prototyping Materials</t>
  </si>
  <si>
    <t>Breadboards, perfboards, testing materials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</si>
</sst>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#,##0.00;(#,##0.00)"/>
    <numFmt numFmtId="165" formatCode="[$₹]#,##0.00"/>
  </numFmts>
  <fonts count="25">
    <font>
      <sz val="10.0"/>
      <color rgb="FF000000"/>
      <name val="Arial"/>
      <scheme val="minor"/>
    </font>
    <font>
      <b/>
      <color theme="1"/>
      <name val="Helvetica Neue"/>
    </font>
    <font>
      <b/>
      <color rgb="FF181A1B"/>
      <name val="Helvetica Neue"/>
    </font>
    <font>
      <color theme="1"/>
      <name val="Helvetica Neue"/>
    </font>
    <font>
      <color rgb="FF181A1B"/>
      <name val="Arial"/>
      <scheme val="minor"/>
    </font>
    <font>
      <color rgb="FF181A1B"/>
      <name val="Helvetica Neue"/>
    </font>
    <font>
      <u/>
      <color rgb="FF56A3F1"/>
      <name val="Helvetica Neue"/>
    </font>
    <font>
      <u/>
      <color rgb="FF56A3F1"/>
      <name val="Helvetica Neue"/>
    </font>
    <font>
      <u/>
      <color rgb="FF56A3F1"/>
      <name val="Helvetica Neue"/>
    </font>
    <font>
      <u/>
      <color rgb="FF0000FF"/>
      <name val="Helvetica Neue"/>
    </font>
    <font>
      <u/>
      <color rgb="FF5AADF1"/>
      <name val="Helvetica Neue"/>
    </font>
    <font>
      <color rgb="FF0F1111"/>
      <name val="Arial"/>
    </font>
    <font>
      <u/>
      <color rgb="FF0000FF"/>
      <name val="Helvetica Neue"/>
    </font>
    <font>
      <u/>
      <color rgb="FF0000FF"/>
      <name val="Helvetica Neue"/>
    </font>
    <font>
      <u/>
      <color rgb="FF0000FF"/>
      <name val="Helvetica Neue"/>
    </font>
    <font>
      <u/>
      <color rgb="FF56A3F1"/>
      <name val="Helvetica Neue"/>
    </font>
    <font>
      <color rgb="FFE8E6E3"/>
      <name val="Helvetica Neue"/>
    </font>
    <font>
      <u/>
      <color rgb="FF0000FF"/>
      <name val="Helvetica Neue"/>
    </font>
    <font>
      <u/>
      <color rgb="FF56A3F1"/>
      <name val="Helvetica Neue"/>
    </font>
    <font>
      <strike/>
      <color theme="1"/>
      <name val="Helvetica Neue"/>
    </font>
    <font>
      <strike/>
      <color rgb="FF181A1B"/>
      <name val="Helvetica Neue"/>
    </font>
    <font>
      <strike/>
      <color rgb="FF56A3F1"/>
      <name val="Helvetica Neue"/>
    </font>
    <font>
      <strike/>
      <color theme="1"/>
      <name val="Arial"/>
      <scheme val="minor"/>
    </font>
    <font/>
    <font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7CB4D"/>
        <bgColor rgb="FFF7CB4D"/>
      </patternFill>
    </fill>
    <fill>
      <patternFill patternType="solid">
        <fgColor rgb="FFFFFFFF"/>
        <bgColor rgb="FFFFFFFF"/>
      </patternFill>
    </fill>
    <fill>
      <patternFill patternType="solid">
        <fgColor rgb="FFFEF8E3"/>
        <bgColor rgb="FFFEF8E3"/>
      </patternFill>
    </fill>
    <fill>
      <patternFill patternType="solid">
        <fgColor rgb="FFFCE8B2"/>
        <bgColor rgb="FFFCE8B2"/>
      </patternFill>
    </fill>
  </fills>
  <borders count="5">
    <border/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</border>
    <border>
      <left style="thin">
        <color rgb="FFCCCCCC"/>
      </left>
      <top style="thin">
        <color rgb="FFCCCCCC"/>
      </top>
      <bottom style="thin">
        <color rgb="FFCCCCCC"/>
      </bottom>
    </border>
    <border>
      <right style="thin">
        <color rgb="FFCCCCCC"/>
      </right>
      <top style="thin">
        <color rgb="FFCCCCCC"/>
      </top>
      <bottom style="thin">
        <color rgb="FFCCCCCC"/>
      </bottom>
    </border>
    <border>
      <top style="thin">
        <color rgb="FFCCCCCC"/>
      </top>
      <bottom style="thin">
        <color rgb="FFCCCCCC"/>
      </bottom>
    </border>
  </borders>
  <cellStyleXfs count="1">
    <xf borderId="0" fillId="0" fontId="0" numFmtId="0" applyAlignment="1" applyFont="1"/>
  </cellStyleXfs>
  <cellXfs count="5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2" fontId="1" numFmtId="0" xfId="0" applyAlignment="1" applyBorder="1" applyFont="1">
      <alignment horizontal="center" readingOrder="0"/>
    </xf>
    <xf borderId="1" fillId="2" fontId="2" numFmtId="0" xfId="0" applyAlignment="1" applyBorder="1" applyFont="1">
      <alignment readingOrder="0"/>
    </xf>
    <xf borderId="0" fillId="2" fontId="2" numFmtId="0" xfId="0" applyAlignment="1" applyFont="1">
      <alignment readingOrder="0"/>
    </xf>
    <xf borderId="1" fillId="3" fontId="3" numFmtId="0" xfId="0" applyAlignment="1" applyBorder="1" applyFill="1" applyFont="1">
      <alignment readingOrder="0"/>
    </xf>
    <xf borderId="1" fillId="3" fontId="4" numFmtId="0" xfId="0" applyAlignment="1" applyBorder="1" applyFont="1">
      <alignment readingOrder="0"/>
    </xf>
    <xf borderId="1" fillId="3" fontId="5" numFmtId="0" xfId="0" applyAlignment="1" applyBorder="1" applyFont="1">
      <alignment readingOrder="0"/>
    </xf>
    <xf borderId="1" fillId="3" fontId="5" numFmtId="164" xfId="0" applyAlignment="1" applyBorder="1" applyFont="1" applyNumberFormat="1">
      <alignment readingOrder="0"/>
    </xf>
    <xf borderId="1" fillId="3" fontId="3" numFmtId="164" xfId="0" applyBorder="1" applyFont="1" applyNumberFormat="1"/>
    <xf borderId="1" fillId="3" fontId="6" numFmtId="0" xfId="0" applyAlignment="1" applyBorder="1" applyFont="1">
      <alignment readingOrder="0" shrinkToFit="0" wrapText="0"/>
    </xf>
    <xf borderId="0" fillId="3" fontId="5" numFmtId="0" xfId="0" applyAlignment="1" applyFont="1">
      <alignment readingOrder="0" shrinkToFit="0" wrapText="0"/>
    </xf>
    <xf borderId="1" fillId="4" fontId="3" numFmtId="0" xfId="0" applyAlignment="1" applyBorder="1" applyFill="1" applyFont="1">
      <alignment readingOrder="0"/>
    </xf>
    <xf borderId="0" fillId="4" fontId="5" numFmtId="0" xfId="0" applyAlignment="1" applyFont="1">
      <alignment readingOrder="0"/>
    </xf>
    <xf borderId="1" fillId="4" fontId="5" numFmtId="0" xfId="0" applyAlignment="1" applyBorder="1" applyFont="1">
      <alignment readingOrder="0"/>
    </xf>
    <xf borderId="1" fillId="4" fontId="5" numFmtId="164" xfId="0" applyAlignment="1" applyBorder="1" applyFont="1" applyNumberFormat="1">
      <alignment readingOrder="0"/>
    </xf>
    <xf borderId="1" fillId="4" fontId="3" numFmtId="164" xfId="0" applyBorder="1" applyFont="1" applyNumberFormat="1"/>
    <xf borderId="1" fillId="4" fontId="7" numFmtId="0" xfId="0" applyAlignment="1" applyBorder="1" applyFont="1">
      <alignment readingOrder="0" shrinkToFit="0" wrapText="0"/>
    </xf>
    <xf borderId="0" fillId="4" fontId="5" numFmtId="0" xfId="0" applyAlignment="1" applyFont="1">
      <alignment readingOrder="0" shrinkToFit="0" wrapText="0"/>
    </xf>
    <xf borderId="1" fillId="3" fontId="5" numFmtId="0" xfId="0" applyAlignment="1" applyBorder="1" applyFont="1">
      <alignment readingOrder="0" vertical="bottom"/>
    </xf>
    <xf borderId="1" fillId="3" fontId="8" numFmtId="0" xfId="0" applyAlignment="1" applyBorder="1" applyFont="1">
      <alignment shrinkToFit="0" vertical="bottom" wrapText="0"/>
    </xf>
    <xf borderId="1" fillId="3" fontId="5" numFmtId="0" xfId="0" applyAlignment="1" applyBorder="1" applyFont="1">
      <alignment readingOrder="0" shrinkToFit="0" wrapText="0"/>
    </xf>
    <xf borderId="1" fillId="3" fontId="9" numFmtId="0" xfId="0" applyAlignment="1" applyBorder="1" applyFont="1">
      <alignment readingOrder="0"/>
    </xf>
    <xf borderId="1" fillId="4" fontId="5" numFmtId="0" xfId="0" applyAlignment="1" applyBorder="1" applyFont="1">
      <alignment readingOrder="0" shrinkToFit="0" wrapText="0"/>
    </xf>
    <xf borderId="1" fillId="4" fontId="10" numFmtId="0" xfId="0" applyAlignment="1" applyBorder="1" applyFont="1">
      <alignment readingOrder="0" shrinkToFit="0" wrapText="0"/>
    </xf>
    <xf borderId="0" fillId="3" fontId="5" numFmtId="0" xfId="0" applyAlignment="1" applyFont="1">
      <alignment readingOrder="0"/>
    </xf>
    <xf borderId="1" fillId="3" fontId="11" numFmtId="0" xfId="0" applyAlignment="1" applyBorder="1" applyFont="1">
      <alignment readingOrder="0"/>
    </xf>
    <xf borderId="1" fillId="4" fontId="12" numFmtId="0" xfId="0" applyAlignment="1" applyBorder="1" applyFont="1">
      <alignment readingOrder="0" shrinkToFit="0" wrapText="0"/>
    </xf>
    <xf borderId="1" fillId="4" fontId="4" numFmtId="0" xfId="0" applyAlignment="1" applyBorder="1" applyFont="1">
      <alignment readingOrder="0"/>
    </xf>
    <xf borderId="1" fillId="4" fontId="5" numFmtId="0" xfId="0" applyAlignment="1" applyBorder="1" applyFont="1">
      <alignment readingOrder="0" shrinkToFit="0" wrapText="1"/>
    </xf>
    <xf borderId="1" fillId="3" fontId="13" numFmtId="0" xfId="0" applyAlignment="1" applyBorder="1" applyFont="1">
      <alignment readingOrder="0" shrinkToFit="0" wrapText="0"/>
    </xf>
    <xf borderId="1" fillId="3" fontId="14" numFmtId="0" xfId="0" applyAlignment="1" applyBorder="1" applyFont="1">
      <alignment readingOrder="0" shrinkToFit="0" wrapText="0"/>
    </xf>
    <xf borderId="1" fillId="4" fontId="15" numFmtId="0" xfId="0" applyAlignment="1" applyBorder="1" applyFont="1">
      <alignment readingOrder="0"/>
    </xf>
    <xf borderId="1" fillId="3" fontId="16" numFmtId="0" xfId="0" applyAlignment="1" applyBorder="1" applyFont="1">
      <alignment readingOrder="0"/>
    </xf>
    <xf borderId="1" fillId="4" fontId="17" numFmtId="0" xfId="0" applyAlignment="1" applyBorder="1" applyFont="1">
      <alignment readingOrder="0"/>
    </xf>
    <xf borderId="1" fillId="3" fontId="18" numFmtId="0" xfId="0" applyAlignment="1" applyBorder="1" applyFont="1">
      <alignment readingOrder="0"/>
    </xf>
    <xf borderId="1" fillId="4" fontId="19" numFmtId="0" xfId="0" applyAlignment="1" applyBorder="1" applyFont="1">
      <alignment readingOrder="0"/>
    </xf>
    <xf borderId="1" fillId="4" fontId="20" numFmtId="0" xfId="0" applyAlignment="1" applyBorder="1" applyFont="1">
      <alignment readingOrder="0"/>
    </xf>
    <xf borderId="1" fillId="4" fontId="20" numFmtId="164" xfId="0" applyAlignment="1" applyBorder="1" applyFont="1" applyNumberFormat="1">
      <alignment readingOrder="0"/>
    </xf>
    <xf borderId="1" fillId="4" fontId="19" numFmtId="164" xfId="0" applyBorder="1" applyFont="1" applyNumberFormat="1"/>
    <xf borderId="1" fillId="4" fontId="21" numFmtId="0" xfId="0" applyAlignment="1" applyBorder="1" applyFont="1">
      <alignment readingOrder="0" shrinkToFit="0" wrapText="0"/>
    </xf>
    <xf borderId="1" fillId="4" fontId="20" numFmtId="0" xfId="0" applyAlignment="1" applyBorder="1" applyFont="1">
      <alignment readingOrder="0" shrinkToFit="0" wrapText="0"/>
    </xf>
    <xf borderId="0" fillId="0" fontId="22" numFmtId="0" xfId="0" applyFont="1"/>
    <xf borderId="1" fillId="3" fontId="5" numFmtId="0" xfId="0" applyAlignment="1" applyBorder="1" applyFont="1">
      <alignment vertical="bottom"/>
    </xf>
    <xf borderId="2" fillId="5" fontId="1" numFmtId="0" xfId="0" applyAlignment="1" applyBorder="1" applyFill="1" applyFont="1">
      <alignment horizontal="right" readingOrder="0"/>
    </xf>
    <xf borderId="3" fillId="5" fontId="23" numFmtId="0" xfId="0" applyBorder="1" applyFont="1"/>
    <xf borderId="2" fillId="5" fontId="1" numFmtId="0" xfId="0" applyBorder="1" applyFont="1"/>
    <xf borderId="1" fillId="5" fontId="1" numFmtId="165" xfId="0" applyBorder="1" applyFont="1" applyNumberFormat="1"/>
    <xf borderId="4" fillId="5" fontId="23" numFmtId="0" xfId="0" applyBorder="1" applyFont="1"/>
    <xf borderId="0" fillId="0" fontId="24" numFmtId="0" xfId="0" applyAlignment="1" applyFont="1">
      <alignment readingOrder="0"/>
    </xf>
  </cellXfs>
  <cellStyles count="1">
    <cellStyle xfId="0" name="Normal" builtinId="0"/>
  </cellStyles>
  <dxfs count="1">
    <dxf>
      <font/>
      <fill>
        <patternFill patternType="none"/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robu.in/product/radiomaster-pocket-radio-controller-elrs-charcoal/" TargetMode="External"/><Relationship Id="rId42" Type="http://schemas.openxmlformats.org/officeDocument/2006/relationships/hyperlink" Target="https://robu.in/product/pro-range-inr-18650-p28a-14-8v-2800mah-4s1p-30a-35a-discharge-li-ion-drone-battery-pack/" TargetMode="External"/><Relationship Id="rId41" Type="http://schemas.openxmlformats.org/officeDocument/2006/relationships/hyperlink" Target="https://robu.in/product/pro-range-inr-21700-p45b-14-8v-4500mah-4s1p-40a-45a-discharge-li-ion-drone-battery-pack/" TargetMode="External"/><Relationship Id="rId44" Type="http://schemas.openxmlformats.org/officeDocument/2006/relationships/hyperlink" Target="https://robu.in/product/pro-range-inr-21700-p45b-14-8v-9000mah-4s2p-70a-90a-discharge-li-ion-drone-battery-pack/" TargetMode="External"/><Relationship Id="rId43" Type="http://schemas.openxmlformats.org/officeDocument/2006/relationships/hyperlink" Target="https://robu.in/product/samsung-agrade-inr-21700-li-ion-drone-battery-pack/" TargetMode="External"/><Relationship Id="rId46" Type="http://schemas.openxmlformats.org/officeDocument/2006/relationships/hyperlink" Target="https://www.quadkart.in/amax-competition-2306-motor/" TargetMode="External"/><Relationship Id="rId45" Type="http://schemas.openxmlformats.org/officeDocument/2006/relationships/hyperlink" Target="https://robu.in/product/emax-ecoii-2807-1500kv-brushless-motor/" TargetMode="External"/><Relationship Id="rId1" Type="http://schemas.openxmlformats.org/officeDocument/2006/relationships/hyperlink" Target="https://www.amazon.in/SAMSUNG-Adaptor-Expanded-Storage-MB-MC64SA/dp/B0CXJ5Q222/ref=sr_1_10?crid=32ZO4858CBTD&amp;dib=eyJ2IjoiMSJ9.Mt4czCOaEqwey1DiU9AOAQJXKjtNKIHky3DYiULkKb3eIUyZabPX64BJ4ZmmAZ1XDrfiHvYqGKtkW2sPEbe9OOwgzoxkSSf-zNc3Q4kE92JfGNv8zoUV-DWNJ_w_E8PBt9kSZlmGSNZLcCsuMNU_I5_SUO3g1KbwGngZSAhGkfNa2hJz9qh6pVE_4YiLle11yIU37TZ3VW7J5flyIWUHZOsYtHnFxPP6kL6Er4OoVX0.Llvi5upFMKUH1Wd-OVOJtPZgE4RUdzNEoq6Zp4LX-qE&amp;dib_tag=se&amp;keywords=64gb%2Bsd%2Bcard&amp;qid=1774262810&amp;sprefix=64gb%2Bsd%2Bcard%2Caps%2C403&amp;sr=8-10&amp;th=1" TargetMode="External"/><Relationship Id="rId2" Type="http://schemas.openxmlformats.org/officeDocument/2006/relationships/hyperlink" Target="https://www.amazon.in/SanDisk-Extreme-microSD-Smartphones-Action/dp/B0B2DD66GS/ref=sr_1_9?crid=3U1E8QNVRLJ2D&amp;dib=eyJ2IjoiMSJ9.mMSb6UU0AwcQij5WL0v2ghW3uwc4BqrU-dkS4f8uUxkX73MQLxxoRuAbYpi18DRvCDgEFQ7Zya_dVaQYo60fCdh0_u_VShhgIp213U-QpEqRc3wMAzeWZmmvGK7ORtuegMmyoIgEKkKh2kxfupb176QpTsYb4P9jqAS2WPzyvcqxzyGDTnuFkAX91zOybNMqMIQag1_C5s3aNM0XcB5iYgXH4DA4sU3VlayjQ2-GvE8.-RC_RSr3IMdD24U1FYaZ-Fh0K0kPwIxl9TJfatwKrjs&amp;dib_tag=se&amp;keywords=64gb%2Bsd%2Bcard&amp;qid=1773233852&amp;refinements=p_123%3A110452%7C46655&amp;rnid=91049095031&amp;sprefix=64gb%2Bsd%2Bcard%2Caps%2C371&amp;sr=8-9&amp;th=1" TargetMode="External"/><Relationship Id="rId3" Type="http://schemas.openxmlformats.org/officeDocument/2006/relationships/hyperlink" Target="https://www.amazon.in/Electronic-Spices-Multi-purpose-Locking-Industrial/dp/B0BKVX91GM?th=1" TargetMode="External"/><Relationship Id="rId4" Type="http://schemas.openxmlformats.org/officeDocument/2006/relationships/hyperlink" Target="https://hubtronics.in/usb-type-c-4pin-female-connector-breakout?search=USB%20Type%20C%20Female%20Breakout" TargetMode="External"/><Relationship Id="rId9" Type="http://schemas.openxmlformats.org/officeDocument/2006/relationships/hyperlink" Target="https://hubtronics.in/right-angle-usb-3-1?srsltid=AfmBOoo5aZtTyM3beYUa10zXP3wvxcGz45W16BRONFI4GhyKVqpoPkjL2bE" TargetMode="External"/><Relationship Id="rId48" Type="http://schemas.openxmlformats.org/officeDocument/2006/relationships/hyperlink" Target="https://www.quadkart.in/radiomaster-rp4td-m-expresslrs-2-4ghz-mini-true-diversity-receiver/" TargetMode="External"/><Relationship Id="rId47" Type="http://schemas.openxmlformats.org/officeDocument/2006/relationships/hyperlink" Target="https://robu.in/product/radiomaster-rp4td-expresslrs-2-4ghz-diversity-receiver/" TargetMode="External"/><Relationship Id="rId49" Type="http://schemas.openxmlformats.org/officeDocument/2006/relationships/hyperlink" Target="https://robu.in/product/hglrc-m100-pro-gps/" TargetMode="External"/><Relationship Id="rId5" Type="http://schemas.openxmlformats.org/officeDocument/2006/relationships/hyperlink" Target="https://robu.in/product/5cm-ipex1-to-sma-female-connector-cable-11mm-rg178/" TargetMode="External"/><Relationship Id="rId6" Type="http://schemas.openxmlformats.org/officeDocument/2006/relationships/hyperlink" Target="https://www.quadkart.in/hglrc-kratos-fireproof-lipo-bag/" TargetMode="External"/><Relationship Id="rId7" Type="http://schemas.openxmlformats.org/officeDocument/2006/relationships/hyperlink" Target="https://www.flyrobo.in/long-range-rp-sma-5.8g-14dbi-panel-antenna?tracking=ads&amp;srsltid=AfmBOoovb6TysWfzLTvdJIqvAd-oOY5zdHEZeXIMXY_VI6Loqb1XoIlqvBQ" TargetMode="External"/><Relationship Id="rId8" Type="http://schemas.openxmlformats.org/officeDocument/2006/relationships/hyperlink" Target="https://hubtronics.in/BL-M8812EU2?srsltid=AfmBOoo-tgJgEWvkFb2rlYtK-Bz4nmuhFbup6ZlJbJxssyYARZnynr5_" TargetMode="External"/><Relationship Id="rId31" Type="http://schemas.openxmlformats.org/officeDocument/2006/relationships/hyperlink" Target="https://rees52.com/products/raspberry-pi-camera-module-3-with-75-120-12mp-sony-imx708-image-sensor?_pos=1&amp;_sid=e6e6e7ff3&amp;_ss=r" TargetMode="External"/><Relationship Id="rId30" Type="http://schemas.openxmlformats.org/officeDocument/2006/relationships/hyperlink" Target="https://rees52.com/products/raspberry-pi-4-basic-starter-kit-includes-pi-4-board-case-power-supply?variant=46790436978855" TargetMode="External"/><Relationship Id="rId33" Type="http://schemas.openxmlformats.org/officeDocument/2006/relationships/hyperlink" Target="https://rees52.com/products/4-in-1-aluminum-heatsink-for-raspberry-pi-4-model-b-blue-rs2645?_pos=9&amp;_sid=426e5b002&amp;_ss=r" TargetMode="External"/><Relationship Id="rId32" Type="http://schemas.openxmlformats.org/officeDocument/2006/relationships/hyperlink" Target="https://robu.in/product/raspberry-pi-camera-module-3/" TargetMode="External"/><Relationship Id="rId35" Type="http://schemas.openxmlformats.org/officeDocument/2006/relationships/hyperlink" Target="https://rees52.com/products/metal-aluminum-alloy-raspberry-pi-4-armor-case-cooling-heatsink-with-fan-for-pi-4-model-pi-4b-gold-rs2437?_pos=17&amp;_sid=426e5b002&amp;_ss=r" TargetMode="External"/><Relationship Id="rId34" Type="http://schemas.openxmlformats.org/officeDocument/2006/relationships/hyperlink" Target="https://rees52.com/products/4-in-1-aluminum-heatsink-for-raspberry-pi-4-model-b-green-rs2644?_pos=8&amp;_sid=426e5b002&amp;_ss=r" TargetMode="External"/><Relationship Id="rId37" Type="http://schemas.openxmlformats.org/officeDocument/2006/relationships/hyperlink" Target="https://rees52.com/products/sma-to-ufl-connector-sma-female-to-ufl-connector-10cm-rs5501?variant=44325097210023&amp;country=IN&amp;currency=INR&amp;utm_medium=product_sync&amp;utm_source=google&amp;utm_content=sag_organic&amp;utm_campaign=sag_organic&amp;srsltid=AfmBOop4WM7dgXo-8_xHVVKoL1vFjq3HuP4uYIDxfOwUlAg_yOyIMBLsMqA" TargetMode="External"/><Relationship Id="rId36" Type="http://schemas.openxmlformats.org/officeDocument/2006/relationships/hyperlink" Target="https://rees52.com/products/usb-type-a-female-breakout-board-2-54mm-pitch-4p-adapter-connector-dip-socket-breakout-board-for-power-supply-rs2898?variant=43607653712039&amp;country=IN&amp;currency=INR&amp;utm_medium=product_sync&amp;utm_source=google&amp;utm_content=sag_organic&amp;utm_campaign=sag_organic&amp;srsltid=AfmBOop621iia4LjOBKyJRxDjhjPL95zevIuojLGb7afyAm6BbjY3GqNqho" TargetMode="External"/><Relationship Id="rId39" Type="http://schemas.openxmlformats.org/officeDocument/2006/relationships/hyperlink" Target="https://robu.in/product/esun-1-75mm-easa-3d-printing-filament-1kg-black/" TargetMode="External"/><Relationship Id="rId38" Type="http://schemas.openxmlformats.org/officeDocument/2006/relationships/hyperlink" Target="https://hubtronics.in/1500uf-25v-capacitor-aishi?search=uF%20capacitor&amp;limit=100" TargetMode="External"/><Relationship Id="rId62" Type="http://schemas.openxmlformats.org/officeDocument/2006/relationships/hyperlink" Target="https://robu.in/product/high-quality-ultra-flexible-26awg-silicone-wire-1000m-red/" TargetMode="External"/><Relationship Id="rId61" Type="http://schemas.openxmlformats.org/officeDocument/2006/relationships/hyperlink" Target="https://robu.in/product/high-quality-ultra-flexible-18awg-silicone-wire-red/" TargetMode="External"/><Relationship Id="rId20" Type="http://schemas.openxmlformats.org/officeDocument/2006/relationships/hyperlink" Target="https://www.quadkart.in/skystars-h7-hd-dual-gyro-km60-blheli-32-esc-30x30-stack/" TargetMode="External"/><Relationship Id="rId64" Type="http://schemas.openxmlformats.org/officeDocument/2006/relationships/hyperlink" Target="https://robu.in/product/flywoo-3pcs-flywoo-ultra-grip-fpv-battery-pad/" TargetMode="External"/><Relationship Id="rId63" Type="http://schemas.openxmlformats.org/officeDocument/2006/relationships/hyperlink" Target="https://robu.in/product/high-quality-ultra-flexible-26awg-silicone-wire-1000m-black/" TargetMode="External"/><Relationship Id="rId22" Type="http://schemas.openxmlformats.org/officeDocument/2006/relationships/hyperlink" Target="https://www.quadkart.in/vimana-kevlar-lipo-strap-240x20mm-1pcs/" TargetMode="External"/><Relationship Id="rId21" Type="http://schemas.openxmlformats.org/officeDocument/2006/relationships/hyperlink" Target="https://www.quadkart.in/anti-vibration-landing-pads-pack-of-4/" TargetMode="External"/><Relationship Id="rId65" Type="http://schemas.openxmlformats.org/officeDocument/2006/relationships/drawing" Target="../drawings/drawing1.xml"/><Relationship Id="rId24" Type="http://schemas.openxmlformats.org/officeDocument/2006/relationships/hyperlink" Target="https://www.quadkart.in/gemfan-floppy-proppy-f6030-3-blade-propeller-set-of-4/" TargetMode="External"/><Relationship Id="rId23" Type="http://schemas.openxmlformats.org/officeDocument/2006/relationships/hyperlink" Target="https://www.quadkart.in/rushfpv-rush-blade-power-filter-board/" TargetMode="External"/><Relationship Id="rId60" Type="http://schemas.openxmlformats.org/officeDocument/2006/relationships/hyperlink" Target="https://robu.in/product/high-quality-ultra-flexible-18awg-silicone-wire-black/" TargetMode="External"/><Relationship Id="rId26" Type="http://schemas.openxmlformats.org/officeDocument/2006/relationships/hyperlink" Target="https://www.quadkart.in/gemfan-floppy-proppy-f6030-2-blade-propeller-set-of-4/" TargetMode="External"/><Relationship Id="rId25" Type="http://schemas.openxmlformats.org/officeDocument/2006/relationships/hyperlink" Target="https://www.quadkart.in/gemfan-lr-6026-2-for-long-range-2cw2ccw/" TargetMode="External"/><Relationship Id="rId28" Type="http://schemas.openxmlformats.org/officeDocument/2006/relationships/hyperlink" Target="https://www.quadkart.in/7mm-heat-shrink-sleeve-black-1meter/" TargetMode="External"/><Relationship Id="rId27" Type="http://schemas.openxmlformats.org/officeDocument/2006/relationships/hyperlink" Target="https://www.quadkart.in/amass-xt60h-connector-1-pair/" TargetMode="External"/><Relationship Id="rId29" Type="http://schemas.openxmlformats.org/officeDocument/2006/relationships/hyperlink" Target="https://rees52.com/products/raspberry-pi-4-model-b-1gb-2gb-4gb-8gb-lpddr4-sdram-raspberry-pi-4b?variant=43607452156071" TargetMode="External"/><Relationship Id="rId51" Type="http://schemas.openxmlformats.org/officeDocument/2006/relationships/hyperlink" Target="https://robu.in/product/xl4016e1-200w-step-down-power-supply-module/" TargetMode="External"/><Relationship Id="rId50" Type="http://schemas.openxmlformats.org/officeDocument/2006/relationships/hyperlink" Target="https://robu.in/product/foxeer-m10q-250-gps-5883-compass/" TargetMode="External"/><Relationship Id="rId53" Type="http://schemas.openxmlformats.org/officeDocument/2006/relationships/hyperlink" Target="https://robu.in/product/orange-hd-604260x4-2-flash-durable-propeller-2cw2ccw-2-pair-ferrari-red/" TargetMode="External"/><Relationship Id="rId52" Type="http://schemas.openxmlformats.org/officeDocument/2006/relationships/hyperlink" Target="https://robu.in/product/2400-mhz-5500-mhz-3-5-dbi-gain-rubber-duck-antenna/" TargetMode="External"/><Relationship Id="rId11" Type="http://schemas.openxmlformats.org/officeDocument/2006/relationships/hyperlink" Target="https://onlyscrews.in/products/hex-allen-csk-m3-x-10-screw-pack-of-21" TargetMode="External"/><Relationship Id="rId55" Type="http://schemas.openxmlformats.org/officeDocument/2006/relationships/hyperlink" Target="https://robu.in/product/1-8s-lipo-battery-voltage-tester/" TargetMode="External"/><Relationship Id="rId10" Type="http://schemas.openxmlformats.org/officeDocument/2006/relationships/hyperlink" Target="https://hubtronics.in/2200uf-50v-capacitor?search=uF%20capacitor&amp;limit=100" TargetMode="External"/><Relationship Id="rId54" Type="http://schemas.openxmlformats.org/officeDocument/2006/relationships/hyperlink" Target="https://robu.in/product/m3-x-30mm-female-to-female-brass-hex-threaded-pillar-standoff-spacer-12-pcs/" TargetMode="External"/><Relationship Id="rId13" Type="http://schemas.openxmlformats.org/officeDocument/2006/relationships/hyperlink" Target="https://onlyscrews.in/products/hex-allen-csk-m3-x-16-screw-pack-of-20" TargetMode="External"/><Relationship Id="rId57" Type="http://schemas.openxmlformats.org/officeDocument/2006/relationships/hyperlink" Target="https://robu.in/product/nylon-8mm-expandable-braided-sleeve-for-wire-protection-2m-length/" TargetMode="External"/><Relationship Id="rId12" Type="http://schemas.openxmlformats.org/officeDocument/2006/relationships/hyperlink" Target="https://onlyscrews.in/products/hex-allen-csk-m3-x-10-screw-pack-of-20" TargetMode="External"/><Relationship Id="rId56" Type="http://schemas.openxmlformats.org/officeDocument/2006/relationships/hyperlink" Target="https://robu.in/product/drone-rubber-damper-12411-7mm-pack-of-4/?gad_source=1&amp;gad_campaignid=17419548928&amp;gbraid=0AAAAADvLFWecsdg0OQHRX9zMJ9acP4_oB&amp;gclid=CjwKCAjwjtTNBhB0EiwAuswYhql6fRvCF5POwxC_Iy-pwcswaho8KARwmcpMmgDU3j2bIPBO3x-KuhoC5-IQAvD_BwE" TargetMode="External"/><Relationship Id="rId15" Type="http://schemas.openxmlformats.org/officeDocument/2006/relationships/hyperlink" Target="https://onlyscrews.in/products/m3-x-12mm-hex-allen-socket-head-high-tensile12-9-black-anodized-screw" TargetMode="External"/><Relationship Id="rId59" Type="http://schemas.openxmlformats.org/officeDocument/2006/relationships/hyperlink" Target="https://robu.in/product/high-quality-ultra-flexible-12awg-silicone-wire-white/" TargetMode="External"/><Relationship Id="rId14" Type="http://schemas.openxmlformats.org/officeDocument/2006/relationships/hyperlink" Target="https://onlyscrews.in/products/hex-allen-socket-head-m3-x-10-screw-pack-of-20" TargetMode="External"/><Relationship Id="rId58" Type="http://schemas.openxmlformats.org/officeDocument/2006/relationships/hyperlink" Target="https://robu.in/product/high-quality-ultra-flexible-12awg-silicone-wire-red/" TargetMode="External"/><Relationship Id="rId17" Type="http://schemas.openxmlformats.org/officeDocument/2006/relationships/hyperlink" Target="https://onlyscrews.in/products/m3-nut-ss-304" TargetMode="External"/><Relationship Id="rId16" Type="http://schemas.openxmlformats.org/officeDocument/2006/relationships/hyperlink" Target="https://onlyscrews.in/products/m3-x-16mm-hex-allen-socket-head-high-tensile12-9-black-anodized-screw" TargetMode="External"/><Relationship Id="rId19" Type="http://schemas.openxmlformats.org/officeDocument/2006/relationships/hyperlink" Target="https://onlyscrews.in/products/3-6mm-x-2000mm-8-inch-white-color-multi-purpose-self-locking-nylon-industrial-grade-cable-zip-tie-copy" TargetMode="External"/><Relationship Id="rId18" Type="http://schemas.openxmlformats.org/officeDocument/2006/relationships/hyperlink" Target="https://onlyscrews.in/products/2-5mm-x-100mm-white-color-multi-purpose-self-locking-nylon-industrial-grade-cable-zip-tie" TargetMode="Externa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showGridLines="0" workbookViewId="0"/>
  </sheetViews>
  <sheetFormatPr customHeight="1" defaultColWidth="12.63" defaultRowHeight="15.75"/>
  <cols>
    <col customWidth="1" min="1" max="1" width="7.75"/>
    <col customWidth="1" min="2" max="2" width="48.38"/>
    <col customWidth="1" min="3" max="3" width="5.88"/>
    <col customWidth="1" min="4" max="4" width="13.38"/>
    <col customWidth="1" min="5" max="5" width="16.88"/>
    <col customWidth="1" min="6" max="6" width="11.13"/>
    <col customWidth="1" min="7" max="7" width="18.88"/>
    <col customWidth="1" min="8" max="8" width="8.75"/>
    <col customWidth="1" min="9" max="9" width="22.63"/>
    <col hidden="1" min="11" max="26" width="12.63"/>
  </cols>
  <sheetData>
    <row r="1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5</v>
      </c>
      <c r="G1" s="2" t="s">
        <v>6</v>
      </c>
      <c r="H1" s="3" t="s">
        <v>7</v>
      </c>
      <c r="I1" s="4" t="s">
        <v>8</v>
      </c>
    </row>
    <row r="2">
      <c r="A2" s="5">
        <v>11.0</v>
      </c>
      <c r="B2" s="6" t="s">
        <v>9</v>
      </c>
      <c r="C2" s="7">
        <v>1.0</v>
      </c>
      <c r="D2" s="8">
        <v>1999.0</v>
      </c>
      <c r="E2" s="9">
        <f t="shared" ref="E2:E57" si="1">$C2*$D2</f>
        <v>1999</v>
      </c>
      <c r="F2" s="7" t="s">
        <v>10</v>
      </c>
      <c r="G2" s="10" t="s">
        <v>11</v>
      </c>
      <c r="H2" s="11" t="s">
        <v>12</v>
      </c>
      <c r="I2" s="10" t="s">
        <v>13</v>
      </c>
    </row>
    <row r="3">
      <c r="A3" s="12">
        <v>40.0</v>
      </c>
      <c r="B3" s="13" t="s">
        <v>14</v>
      </c>
      <c r="C3" s="14">
        <v>1.0</v>
      </c>
      <c r="D3" s="15">
        <v>99.0</v>
      </c>
      <c r="E3" s="16">
        <f t="shared" si="1"/>
        <v>99</v>
      </c>
      <c r="F3" s="14" t="s">
        <v>10</v>
      </c>
      <c r="G3" s="17" t="s">
        <v>15</v>
      </c>
      <c r="H3" s="18" t="s">
        <v>12</v>
      </c>
      <c r="I3" s="12"/>
    </row>
    <row r="4">
      <c r="A4" s="5">
        <v>22.0</v>
      </c>
      <c r="B4" s="7" t="s">
        <v>16</v>
      </c>
      <c r="C4" s="7">
        <v>1.0</v>
      </c>
      <c r="D4" s="8">
        <v>93.0</v>
      </c>
      <c r="E4" s="9">
        <f t="shared" si="1"/>
        <v>93</v>
      </c>
      <c r="F4" s="19" t="s">
        <v>10</v>
      </c>
      <c r="G4" s="20" t="s">
        <v>17</v>
      </c>
      <c r="H4" s="21" t="s">
        <v>12</v>
      </c>
      <c r="I4" s="22" t="s">
        <v>18</v>
      </c>
    </row>
    <row r="5">
      <c r="A5" s="12">
        <v>41.0</v>
      </c>
      <c r="B5" s="14" t="s">
        <v>19</v>
      </c>
      <c r="C5" s="14">
        <v>2.0</v>
      </c>
      <c r="D5" s="15">
        <v>781.0</v>
      </c>
      <c r="E5" s="16">
        <f t="shared" si="1"/>
        <v>1562</v>
      </c>
      <c r="F5" s="14" t="s">
        <v>10</v>
      </c>
      <c r="G5" s="17" t="s">
        <v>20</v>
      </c>
      <c r="H5" s="23"/>
      <c r="I5" s="12"/>
    </row>
    <row r="6">
      <c r="A6" s="5">
        <v>18.0</v>
      </c>
      <c r="B6" s="7" t="s">
        <v>21</v>
      </c>
      <c r="C6" s="7">
        <v>1.0</v>
      </c>
      <c r="D6" s="8">
        <v>499.0</v>
      </c>
      <c r="E6" s="9">
        <f t="shared" si="1"/>
        <v>499</v>
      </c>
      <c r="F6" s="7" t="s">
        <v>22</v>
      </c>
      <c r="G6" s="10" t="s">
        <v>23</v>
      </c>
      <c r="H6" s="11" t="s">
        <v>12</v>
      </c>
      <c r="I6" s="5"/>
    </row>
    <row r="7">
      <c r="A7" s="12">
        <v>16.0</v>
      </c>
      <c r="B7" s="14" t="s">
        <v>24</v>
      </c>
      <c r="C7" s="14">
        <v>2.0</v>
      </c>
      <c r="D7" s="15">
        <v>1298.0</v>
      </c>
      <c r="E7" s="16">
        <f t="shared" si="1"/>
        <v>2596</v>
      </c>
      <c r="F7" s="14" t="s">
        <v>25</v>
      </c>
      <c r="G7" s="17" t="s">
        <v>26</v>
      </c>
      <c r="H7" s="18" t="s">
        <v>12</v>
      </c>
      <c r="I7" s="12"/>
    </row>
    <row r="8">
      <c r="A8" s="5">
        <v>21.0</v>
      </c>
      <c r="B8" s="7" t="s">
        <v>27</v>
      </c>
      <c r="C8" s="7">
        <v>1.0</v>
      </c>
      <c r="D8" s="8">
        <v>40.0</v>
      </c>
      <c r="E8" s="9">
        <f t="shared" si="1"/>
        <v>40</v>
      </c>
      <c r="F8" s="7" t="s">
        <v>25</v>
      </c>
      <c r="G8" s="10" t="s">
        <v>28</v>
      </c>
      <c r="H8" s="21" t="s">
        <v>12</v>
      </c>
      <c r="I8" s="5"/>
    </row>
    <row r="9">
      <c r="A9" s="12">
        <v>52.0</v>
      </c>
      <c r="B9" s="14" t="s">
        <v>29</v>
      </c>
      <c r="C9" s="14">
        <v>2.0</v>
      </c>
      <c r="D9" s="15">
        <v>21.0</v>
      </c>
      <c r="E9" s="16">
        <f t="shared" si="1"/>
        <v>42</v>
      </c>
      <c r="F9" s="14" t="s">
        <v>25</v>
      </c>
      <c r="G9" s="17" t="s">
        <v>30</v>
      </c>
      <c r="H9" s="23" t="s">
        <v>12</v>
      </c>
      <c r="I9" s="12"/>
    </row>
    <row r="10">
      <c r="A10" s="5">
        <v>30.0</v>
      </c>
      <c r="B10" s="7" t="s">
        <v>31</v>
      </c>
      <c r="C10" s="7">
        <v>30.0</v>
      </c>
      <c r="D10" s="8">
        <v>1.6</v>
      </c>
      <c r="E10" s="9">
        <f t="shared" si="1"/>
        <v>48</v>
      </c>
      <c r="F10" s="7" t="s">
        <v>32</v>
      </c>
      <c r="G10" s="10" t="s">
        <v>33</v>
      </c>
      <c r="H10" s="21"/>
      <c r="I10" s="5"/>
    </row>
    <row r="11">
      <c r="A11" s="12">
        <v>31.0</v>
      </c>
      <c r="B11" s="14" t="s">
        <v>34</v>
      </c>
      <c r="C11" s="14">
        <v>15.0</v>
      </c>
      <c r="D11" s="15">
        <v>1.8</v>
      </c>
      <c r="E11" s="16">
        <f t="shared" si="1"/>
        <v>27</v>
      </c>
      <c r="F11" s="14" t="s">
        <v>32</v>
      </c>
      <c r="G11" s="24" t="s">
        <v>35</v>
      </c>
      <c r="H11" s="23"/>
      <c r="I11" s="12"/>
    </row>
    <row r="12">
      <c r="A12" s="5">
        <v>32.0</v>
      </c>
      <c r="B12" s="25" t="s">
        <v>36</v>
      </c>
      <c r="C12" s="7">
        <v>10.0</v>
      </c>
      <c r="D12" s="8">
        <v>2.2</v>
      </c>
      <c r="E12" s="9">
        <f t="shared" si="1"/>
        <v>22</v>
      </c>
      <c r="F12" s="7" t="s">
        <v>32</v>
      </c>
      <c r="G12" s="10" t="s">
        <v>37</v>
      </c>
      <c r="H12" s="21"/>
      <c r="I12" s="5"/>
    </row>
    <row r="13">
      <c r="A13" s="12">
        <v>33.0</v>
      </c>
      <c r="B13" s="14" t="s">
        <v>38</v>
      </c>
      <c r="C13" s="14">
        <v>25.0</v>
      </c>
      <c r="D13" s="15">
        <v>3.2</v>
      </c>
      <c r="E13" s="16">
        <f t="shared" si="1"/>
        <v>80</v>
      </c>
      <c r="F13" s="14" t="s">
        <v>32</v>
      </c>
      <c r="G13" s="17" t="s">
        <v>39</v>
      </c>
      <c r="H13" s="23"/>
      <c r="I13" s="12"/>
    </row>
    <row r="14">
      <c r="A14" s="5">
        <v>34.0</v>
      </c>
      <c r="B14" s="7" t="s">
        <v>40</v>
      </c>
      <c r="C14" s="7">
        <v>10.0</v>
      </c>
      <c r="D14" s="8">
        <v>2.2</v>
      </c>
      <c r="E14" s="9">
        <f t="shared" si="1"/>
        <v>22</v>
      </c>
      <c r="F14" s="7" t="s">
        <v>32</v>
      </c>
      <c r="G14" s="10" t="s">
        <v>41</v>
      </c>
      <c r="H14" s="21"/>
      <c r="I14" s="5"/>
    </row>
    <row r="15">
      <c r="A15" s="12">
        <v>35.0</v>
      </c>
      <c r="B15" s="14" t="s">
        <v>42</v>
      </c>
      <c r="C15" s="14">
        <v>10.0</v>
      </c>
      <c r="D15" s="15">
        <v>2.4</v>
      </c>
      <c r="E15" s="16">
        <f t="shared" si="1"/>
        <v>24</v>
      </c>
      <c r="F15" s="14" t="s">
        <v>32</v>
      </c>
      <c r="G15" s="17" t="s">
        <v>43</v>
      </c>
      <c r="H15" s="23"/>
      <c r="I15" s="12"/>
    </row>
    <row r="16">
      <c r="A16" s="5">
        <v>36.0</v>
      </c>
      <c r="B16" s="7" t="s">
        <v>44</v>
      </c>
      <c r="C16" s="7">
        <v>100.0</v>
      </c>
      <c r="D16" s="8">
        <v>1.0</v>
      </c>
      <c r="E16" s="9">
        <f t="shared" si="1"/>
        <v>100</v>
      </c>
      <c r="F16" s="7" t="s">
        <v>32</v>
      </c>
      <c r="G16" s="10" t="s">
        <v>45</v>
      </c>
      <c r="H16" s="21"/>
      <c r="I16" s="5"/>
    </row>
    <row r="17">
      <c r="A17" s="12">
        <v>38.0</v>
      </c>
      <c r="B17" s="14" t="s">
        <v>46</v>
      </c>
      <c r="C17" s="14">
        <v>25.0</v>
      </c>
      <c r="D17" s="15">
        <v>0.36</v>
      </c>
      <c r="E17" s="16">
        <f t="shared" si="1"/>
        <v>9</v>
      </c>
      <c r="F17" s="14" t="s">
        <v>32</v>
      </c>
      <c r="G17" s="17" t="s">
        <v>47</v>
      </c>
      <c r="H17" s="23"/>
      <c r="I17" s="12"/>
    </row>
    <row r="18">
      <c r="A18" s="5">
        <v>39.0</v>
      </c>
      <c r="B18" s="7" t="s">
        <v>48</v>
      </c>
      <c r="C18" s="7">
        <v>25.0</v>
      </c>
      <c r="D18" s="8">
        <v>1.0</v>
      </c>
      <c r="E18" s="9">
        <f t="shared" si="1"/>
        <v>25</v>
      </c>
      <c r="F18" s="7" t="s">
        <v>32</v>
      </c>
      <c r="G18" s="10" t="s">
        <v>49</v>
      </c>
      <c r="H18" s="21"/>
      <c r="I18" s="5"/>
    </row>
    <row r="19">
      <c r="A19" s="12">
        <v>2.0</v>
      </c>
      <c r="B19" s="26" t="s">
        <v>50</v>
      </c>
      <c r="C19" s="12">
        <v>1.0</v>
      </c>
      <c r="D19" s="15">
        <v>11999.0</v>
      </c>
      <c r="E19" s="16">
        <f t="shared" si="1"/>
        <v>11999</v>
      </c>
      <c r="F19" s="14" t="s">
        <v>51</v>
      </c>
      <c r="G19" s="27" t="s">
        <v>52</v>
      </c>
      <c r="H19" s="28" t="s">
        <v>12</v>
      </c>
      <c r="I19" s="12"/>
    </row>
    <row r="20">
      <c r="A20" s="5">
        <v>19.0</v>
      </c>
      <c r="B20" s="7" t="s">
        <v>53</v>
      </c>
      <c r="C20" s="7">
        <v>1.0</v>
      </c>
      <c r="D20" s="8">
        <v>299.0</v>
      </c>
      <c r="E20" s="9">
        <f t="shared" si="1"/>
        <v>299</v>
      </c>
      <c r="F20" s="7" t="s">
        <v>51</v>
      </c>
      <c r="G20" s="10" t="s">
        <v>54</v>
      </c>
      <c r="H20" s="21" t="s">
        <v>12</v>
      </c>
      <c r="I20" s="5"/>
    </row>
    <row r="21">
      <c r="A21" s="12">
        <v>20.0</v>
      </c>
      <c r="B21" s="14" t="s">
        <v>55</v>
      </c>
      <c r="C21" s="14">
        <v>3.0</v>
      </c>
      <c r="D21" s="15">
        <v>99.0</v>
      </c>
      <c r="E21" s="16">
        <f t="shared" si="1"/>
        <v>297</v>
      </c>
      <c r="F21" s="14" t="s">
        <v>51</v>
      </c>
      <c r="G21" s="17" t="s">
        <v>56</v>
      </c>
      <c r="H21" s="23" t="s">
        <v>12</v>
      </c>
      <c r="I21" s="12"/>
    </row>
    <row r="22">
      <c r="A22" s="5">
        <v>23.0</v>
      </c>
      <c r="B22" s="7" t="s">
        <v>57</v>
      </c>
      <c r="C22" s="7">
        <v>1.0</v>
      </c>
      <c r="D22" s="8">
        <v>599.0</v>
      </c>
      <c r="E22" s="9">
        <f t="shared" si="1"/>
        <v>599</v>
      </c>
      <c r="F22" s="7" t="s">
        <v>51</v>
      </c>
      <c r="G22" s="10" t="s">
        <v>58</v>
      </c>
      <c r="H22" s="21" t="s">
        <v>12</v>
      </c>
      <c r="I22" s="5"/>
    </row>
    <row r="23">
      <c r="A23" s="12">
        <v>26.0</v>
      </c>
      <c r="B23" s="14" t="s">
        <v>59</v>
      </c>
      <c r="C23" s="14">
        <v>2.0</v>
      </c>
      <c r="D23" s="15">
        <v>249.0</v>
      </c>
      <c r="E23" s="16">
        <f t="shared" si="1"/>
        <v>498</v>
      </c>
      <c r="F23" s="14" t="s">
        <v>51</v>
      </c>
      <c r="G23" s="17" t="s">
        <v>60</v>
      </c>
      <c r="H23" s="29" t="s">
        <v>12</v>
      </c>
      <c r="I23" s="12"/>
    </row>
    <row r="24">
      <c r="A24" s="5">
        <v>27.0</v>
      </c>
      <c r="B24" s="7" t="s">
        <v>61</v>
      </c>
      <c r="C24" s="7">
        <v>2.0</v>
      </c>
      <c r="D24" s="8">
        <v>249.0</v>
      </c>
      <c r="E24" s="9">
        <f t="shared" si="1"/>
        <v>498</v>
      </c>
      <c r="F24" s="7" t="s">
        <v>51</v>
      </c>
      <c r="G24" s="10" t="s">
        <v>62</v>
      </c>
      <c r="H24" s="21" t="s">
        <v>12</v>
      </c>
      <c r="I24" s="5"/>
    </row>
    <row r="25">
      <c r="A25" s="12">
        <v>28.0</v>
      </c>
      <c r="B25" s="14" t="s">
        <v>63</v>
      </c>
      <c r="C25" s="14">
        <v>2.0</v>
      </c>
      <c r="D25" s="15">
        <v>249.0</v>
      </c>
      <c r="E25" s="16">
        <f t="shared" si="1"/>
        <v>498</v>
      </c>
      <c r="F25" s="14" t="s">
        <v>51</v>
      </c>
      <c r="G25" s="17" t="s">
        <v>64</v>
      </c>
      <c r="H25" s="23" t="s">
        <v>12</v>
      </c>
      <c r="I25" s="12"/>
    </row>
    <row r="26">
      <c r="A26" s="5"/>
      <c r="B26" s="7" t="s">
        <v>65</v>
      </c>
      <c r="C26" s="7">
        <v>1.0</v>
      </c>
      <c r="D26" s="8">
        <v>69.0</v>
      </c>
      <c r="E26" s="9">
        <f t="shared" si="1"/>
        <v>69</v>
      </c>
      <c r="F26" s="7" t="s">
        <v>51</v>
      </c>
      <c r="G26" s="10" t="s">
        <v>66</v>
      </c>
      <c r="H26" s="21" t="s">
        <v>12</v>
      </c>
      <c r="I26" s="5"/>
    </row>
    <row r="27">
      <c r="A27" s="12">
        <v>53.0</v>
      </c>
      <c r="B27" s="14" t="s">
        <v>67</v>
      </c>
      <c r="C27" s="14">
        <v>1.0</v>
      </c>
      <c r="D27" s="15">
        <v>21.0</v>
      </c>
      <c r="E27" s="16">
        <f t="shared" si="1"/>
        <v>21</v>
      </c>
      <c r="F27" s="14" t="s">
        <v>51</v>
      </c>
      <c r="G27" s="17" t="s">
        <v>68</v>
      </c>
      <c r="H27" s="23" t="s">
        <v>12</v>
      </c>
      <c r="I27" s="12"/>
    </row>
    <row r="28">
      <c r="A28" s="5">
        <v>7.0</v>
      </c>
      <c r="B28" s="5" t="s">
        <v>69</v>
      </c>
      <c r="C28" s="5">
        <v>1.0</v>
      </c>
      <c r="D28" s="8">
        <v>9299.0</v>
      </c>
      <c r="E28" s="9">
        <f t="shared" si="1"/>
        <v>9299</v>
      </c>
      <c r="F28" s="7" t="s">
        <v>70</v>
      </c>
      <c r="G28" s="30" t="s">
        <v>71</v>
      </c>
      <c r="H28" s="5"/>
      <c r="I28" s="22" t="s">
        <v>72</v>
      </c>
    </row>
    <row r="29">
      <c r="A29" s="12">
        <v>9.0</v>
      </c>
      <c r="B29" s="12" t="s">
        <v>73</v>
      </c>
      <c r="C29" s="12">
        <v>1.0</v>
      </c>
      <c r="D29" s="15">
        <v>2519.0</v>
      </c>
      <c r="E29" s="16">
        <f t="shared" si="1"/>
        <v>2519</v>
      </c>
      <c r="F29" s="14" t="s">
        <v>70</v>
      </c>
      <c r="G29" s="17" t="s">
        <v>74</v>
      </c>
      <c r="H29" s="23"/>
      <c r="I29" s="17" t="s">
        <v>75</v>
      </c>
    </row>
    <row r="30">
      <c r="A30" s="5">
        <v>13.0</v>
      </c>
      <c r="B30" s="7" t="s">
        <v>76</v>
      </c>
      <c r="C30" s="7">
        <v>1.0</v>
      </c>
      <c r="D30" s="8">
        <v>65.0</v>
      </c>
      <c r="E30" s="9">
        <f t="shared" si="1"/>
        <v>65</v>
      </c>
      <c r="F30" s="7" t="s">
        <v>70</v>
      </c>
      <c r="G30" s="10" t="s">
        <v>77</v>
      </c>
      <c r="H30" s="21"/>
      <c r="I30" s="5"/>
    </row>
    <row r="31">
      <c r="A31" s="12">
        <v>14.0</v>
      </c>
      <c r="B31" s="14" t="s">
        <v>78</v>
      </c>
      <c r="C31" s="14">
        <v>1.0</v>
      </c>
      <c r="D31" s="15">
        <v>65.0</v>
      </c>
      <c r="E31" s="16">
        <f t="shared" si="1"/>
        <v>65</v>
      </c>
      <c r="F31" s="14" t="s">
        <v>70</v>
      </c>
      <c r="G31" s="17" t="s">
        <v>79</v>
      </c>
      <c r="H31" s="23"/>
      <c r="I31" s="12"/>
    </row>
    <row r="32">
      <c r="A32" s="5">
        <v>15.0</v>
      </c>
      <c r="B32" s="7" t="s">
        <v>80</v>
      </c>
      <c r="C32" s="7">
        <v>1.0</v>
      </c>
      <c r="D32" s="8">
        <v>719.0</v>
      </c>
      <c r="E32" s="9">
        <f t="shared" si="1"/>
        <v>719</v>
      </c>
      <c r="F32" s="7" t="s">
        <v>70</v>
      </c>
      <c r="G32" s="31" t="s">
        <v>81</v>
      </c>
      <c r="H32" s="21"/>
      <c r="I32" s="5"/>
    </row>
    <row r="33">
      <c r="A33" s="12">
        <v>24.0</v>
      </c>
      <c r="B33" s="14" t="s">
        <v>82</v>
      </c>
      <c r="C33" s="14">
        <v>2.0</v>
      </c>
      <c r="D33" s="15">
        <v>9.0</v>
      </c>
      <c r="E33" s="16">
        <f t="shared" si="1"/>
        <v>18</v>
      </c>
      <c r="F33" s="14" t="s">
        <v>70</v>
      </c>
      <c r="G33" s="17" t="s">
        <v>83</v>
      </c>
      <c r="H33" s="23"/>
      <c r="I33" s="32"/>
    </row>
    <row r="34">
      <c r="A34" s="5">
        <v>25.0</v>
      </c>
      <c r="B34" s="7" t="s">
        <v>84</v>
      </c>
      <c r="C34" s="7">
        <v>4.0</v>
      </c>
      <c r="D34" s="8">
        <v>45.0</v>
      </c>
      <c r="E34" s="9">
        <f t="shared" si="1"/>
        <v>180</v>
      </c>
      <c r="F34" s="7" t="s">
        <v>70</v>
      </c>
      <c r="G34" s="10" t="s">
        <v>85</v>
      </c>
      <c r="H34" s="21"/>
      <c r="I34" s="5"/>
    </row>
    <row r="35">
      <c r="A35" s="12">
        <v>51.0</v>
      </c>
      <c r="B35" s="14" t="s">
        <v>86</v>
      </c>
      <c r="C35" s="14">
        <v>5.0</v>
      </c>
      <c r="D35" s="15">
        <v>8.0</v>
      </c>
      <c r="E35" s="16">
        <f t="shared" si="1"/>
        <v>40</v>
      </c>
      <c r="F35" s="14" t="s">
        <v>87</v>
      </c>
      <c r="G35" s="17" t="s">
        <v>88</v>
      </c>
      <c r="H35" s="23" t="s">
        <v>12</v>
      </c>
      <c r="I35" s="12"/>
    </row>
    <row r="36">
      <c r="A36" s="5">
        <v>1.0</v>
      </c>
      <c r="B36" s="5" t="s">
        <v>89</v>
      </c>
      <c r="C36" s="5">
        <v>1.0</v>
      </c>
      <c r="D36" s="8">
        <v>1844.0</v>
      </c>
      <c r="E36" s="9">
        <f t="shared" si="1"/>
        <v>1844</v>
      </c>
      <c r="F36" s="33" t="s">
        <v>87</v>
      </c>
      <c r="G36" s="30" t="s">
        <v>90</v>
      </c>
      <c r="H36" s="6" t="s">
        <v>12</v>
      </c>
      <c r="I36" s="5"/>
    </row>
    <row r="37">
      <c r="A37" s="12">
        <v>3.0</v>
      </c>
      <c r="B37" s="14" t="s">
        <v>91</v>
      </c>
      <c r="C37" s="12">
        <v>1.0</v>
      </c>
      <c r="D37" s="15">
        <v>9219.0</v>
      </c>
      <c r="E37" s="16">
        <f t="shared" si="1"/>
        <v>9219</v>
      </c>
      <c r="F37" s="14" t="s">
        <v>87</v>
      </c>
      <c r="G37" s="27" t="s">
        <v>92</v>
      </c>
      <c r="H37" s="14" t="s">
        <v>12</v>
      </c>
      <c r="I37" s="12"/>
    </row>
    <row r="38">
      <c r="A38" s="5">
        <v>4.0</v>
      </c>
      <c r="B38" s="5" t="s">
        <v>93</v>
      </c>
      <c r="C38" s="7">
        <v>1.0</v>
      </c>
      <c r="D38" s="8">
        <v>2749.0</v>
      </c>
      <c r="E38" s="9">
        <f t="shared" si="1"/>
        <v>2749</v>
      </c>
      <c r="F38" s="7" t="s">
        <v>87</v>
      </c>
      <c r="G38" s="30" t="s">
        <v>94</v>
      </c>
      <c r="H38" s="7" t="s">
        <v>12</v>
      </c>
      <c r="I38" s="22" t="s">
        <v>95</v>
      </c>
    </row>
    <row r="39">
      <c r="A39" s="12">
        <v>5.0</v>
      </c>
      <c r="B39" s="12" t="s">
        <v>96</v>
      </c>
      <c r="C39" s="14">
        <v>1.0</v>
      </c>
      <c r="D39" s="15">
        <v>5249.0</v>
      </c>
      <c r="E39" s="16">
        <f t="shared" si="1"/>
        <v>5249</v>
      </c>
      <c r="F39" s="14" t="s">
        <v>87</v>
      </c>
      <c r="G39" s="27" t="s">
        <v>97</v>
      </c>
      <c r="H39" s="14" t="s">
        <v>12</v>
      </c>
      <c r="I39" s="34" t="s">
        <v>98</v>
      </c>
    </row>
    <row r="40">
      <c r="A40" s="5">
        <v>6.0</v>
      </c>
      <c r="B40" s="7" t="s">
        <v>99</v>
      </c>
      <c r="C40" s="7">
        <v>4.0</v>
      </c>
      <c r="D40" s="8">
        <v>1941.0</v>
      </c>
      <c r="E40" s="9">
        <f t="shared" si="1"/>
        <v>7764</v>
      </c>
      <c r="F40" s="7" t="s">
        <v>87</v>
      </c>
      <c r="G40" s="30" t="s">
        <v>100</v>
      </c>
      <c r="H40" s="6" t="s">
        <v>12</v>
      </c>
      <c r="I40" s="30" t="s">
        <v>101</v>
      </c>
    </row>
    <row r="41">
      <c r="A41" s="12">
        <v>8.0</v>
      </c>
      <c r="B41" s="14" t="s">
        <v>102</v>
      </c>
      <c r="C41" s="14">
        <v>1.0</v>
      </c>
      <c r="D41" s="15">
        <v>3744.0</v>
      </c>
      <c r="E41" s="16">
        <f t="shared" si="1"/>
        <v>3744</v>
      </c>
      <c r="F41" s="14" t="s">
        <v>87</v>
      </c>
      <c r="G41" s="27" t="s">
        <v>103</v>
      </c>
      <c r="H41" s="14" t="s">
        <v>12</v>
      </c>
      <c r="I41" s="27" t="s">
        <v>104</v>
      </c>
    </row>
    <row r="42">
      <c r="A42" s="5">
        <v>10.0</v>
      </c>
      <c r="B42" s="5" t="s">
        <v>105</v>
      </c>
      <c r="C42" s="7">
        <v>1.0</v>
      </c>
      <c r="D42" s="8">
        <v>1899.0</v>
      </c>
      <c r="E42" s="9">
        <f t="shared" si="1"/>
        <v>1899</v>
      </c>
      <c r="F42" s="7" t="s">
        <v>87</v>
      </c>
      <c r="G42" s="35" t="s">
        <v>106</v>
      </c>
      <c r="H42" s="21" t="s">
        <v>12</v>
      </c>
      <c r="I42" s="22" t="s">
        <v>107</v>
      </c>
    </row>
    <row r="43">
      <c r="A43" s="12">
        <v>12.0</v>
      </c>
      <c r="B43" s="14" t="s">
        <v>108</v>
      </c>
      <c r="C43" s="14">
        <v>1.0</v>
      </c>
      <c r="D43" s="15">
        <v>338.0</v>
      </c>
      <c r="E43" s="16">
        <f t="shared" si="1"/>
        <v>338</v>
      </c>
      <c r="F43" s="14" t="s">
        <v>87</v>
      </c>
      <c r="G43" s="17" t="s">
        <v>109</v>
      </c>
      <c r="H43" s="23" t="s">
        <v>12</v>
      </c>
      <c r="I43" s="12"/>
    </row>
    <row r="44">
      <c r="A44" s="5">
        <v>17.0</v>
      </c>
      <c r="B44" s="7" t="s">
        <v>110</v>
      </c>
      <c r="C44" s="7">
        <v>3.0</v>
      </c>
      <c r="D44" s="8">
        <v>209.0</v>
      </c>
      <c r="E44" s="9">
        <f t="shared" si="1"/>
        <v>627</v>
      </c>
      <c r="F44" s="7" t="s">
        <v>87</v>
      </c>
      <c r="G44" s="10" t="s">
        <v>111</v>
      </c>
      <c r="H44" s="21" t="s">
        <v>12</v>
      </c>
      <c r="I44" s="5"/>
    </row>
    <row r="45">
      <c r="A45" s="36">
        <v>29.0</v>
      </c>
      <c r="B45" s="37" t="s">
        <v>112</v>
      </c>
      <c r="C45" s="37">
        <v>2.0</v>
      </c>
      <c r="D45" s="38">
        <v>211.0</v>
      </c>
      <c r="E45" s="39">
        <f t="shared" si="1"/>
        <v>422</v>
      </c>
      <c r="F45" s="37" t="s">
        <v>87</v>
      </c>
      <c r="G45" s="40" t="s">
        <v>113</v>
      </c>
      <c r="H45" s="41"/>
      <c r="I45" s="36"/>
      <c r="K45" s="42"/>
      <c r="L45" s="42"/>
      <c r="M45" s="42"/>
      <c r="N45" s="42"/>
      <c r="O45" s="42"/>
      <c r="P45" s="42"/>
      <c r="Q45" s="42"/>
      <c r="R45" s="42"/>
      <c r="S45" s="42"/>
      <c r="T45" s="42"/>
      <c r="U45" s="42"/>
      <c r="V45" s="42"/>
      <c r="W45" s="42"/>
      <c r="X45" s="42"/>
      <c r="Y45" s="42"/>
      <c r="Z45" s="42"/>
    </row>
    <row r="46">
      <c r="A46" s="5">
        <v>37.0</v>
      </c>
      <c r="B46" s="7" t="s">
        <v>114</v>
      </c>
      <c r="C46" s="7">
        <v>2.0</v>
      </c>
      <c r="D46" s="8">
        <v>246.0</v>
      </c>
      <c r="E46" s="9">
        <f t="shared" si="1"/>
        <v>492</v>
      </c>
      <c r="F46" s="7" t="s">
        <v>87</v>
      </c>
      <c r="G46" s="10" t="s">
        <v>115</v>
      </c>
      <c r="H46" s="21" t="s">
        <v>12</v>
      </c>
      <c r="I46" s="5"/>
    </row>
    <row r="47">
      <c r="A47" s="36">
        <v>42.0</v>
      </c>
      <c r="B47" s="37" t="s">
        <v>116</v>
      </c>
      <c r="C47" s="37">
        <v>1.0</v>
      </c>
      <c r="D47" s="38">
        <v>96.0</v>
      </c>
      <c r="E47" s="39">
        <f t="shared" si="1"/>
        <v>96</v>
      </c>
      <c r="F47" s="37" t="s">
        <v>87</v>
      </c>
      <c r="G47" s="40" t="s">
        <v>117</v>
      </c>
      <c r="H47" s="41"/>
      <c r="I47" s="36"/>
      <c r="K47" s="42"/>
      <c r="L47" s="42"/>
      <c r="M47" s="42"/>
      <c r="N47" s="42"/>
      <c r="O47" s="42"/>
      <c r="P47" s="42"/>
      <c r="Q47" s="42"/>
      <c r="R47" s="42"/>
      <c r="S47" s="42"/>
      <c r="T47" s="42"/>
      <c r="U47" s="42"/>
      <c r="V47" s="42"/>
      <c r="W47" s="42"/>
      <c r="X47" s="42"/>
      <c r="Y47" s="42"/>
      <c r="Z47" s="42"/>
    </row>
    <row r="48">
      <c r="A48" s="5">
        <v>43.0</v>
      </c>
      <c r="B48" s="7" t="s">
        <v>118</v>
      </c>
      <c r="C48" s="7">
        <v>1.0</v>
      </c>
      <c r="D48" s="8">
        <v>65.0</v>
      </c>
      <c r="E48" s="9">
        <f t="shared" si="1"/>
        <v>65</v>
      </c>
      <c r="F48" s="7" t="s">
        <v>87</v>
      </c>
      <c r="G48" s="10" t="s">
        <v>119</v>
      </c>
      <c r="H48" s="21" t="s">
        <v>12</v>
      </c>
      <c r="I48" s="5"/>
    </row>
    <row r="49">
      <c r="A49" s="12">
        <v>44.0</v>
      </c>
      <c r="B49" s="14" t="s">
        <v>120</v>
      </c>
      <c r="C49" s="14">
        <v>1.0</v>
      </c>
      <c r="D49" s="15">
        <v>75.0</v>
      </c>
      <c r="E49" s="16">
        <f t="shared" si="1"/>
        <v>75</v>
      </c>
      <c r="F49" s="14" t="s">
        <v>87</v>
      </c>
      <c r="G49" s="17" t="s">
        <v>121</v>
      </c>
      <c r="H49" s="23" t="s">
        <v>12</v>
      </c>
      <c r="I49" s="12"/>
    </row>
    <row r="50">
      <c r="A50" s="5">
        <v>45.0</v>
      </c>
      <c r="B50" s="7" t="s">
        <v>122</v>
      </c>
      <c r="C50" s="7">
        <v>1.0</v>
      </c>
      <c r="D50" s="8">
        <v>95.0</v>
      </c>
      <c r="E50" s="9">
        <f t="shared" si="1"/>
        <v>95</v>
      </c>
      <c r="F50" s="7" t="s">
        <v>87</v>
      </c>
      <c r="G50" s="10" t="s">
        <v>123</v>
      </c>
      <c r="H50" s="21" t="s">
        <v>12</v>
      </c>
      <c r="I50" s="5"/>
    </row>
    <row r="51">
      <c r="A51" s="12">
        <v>46.0</v>
      </c>
      <c r="B51" s="14" t="s">
        <v>124</v>
      </c>
      <c r="C51" s="14">
        <v>1.0</v>
      </c>
      <c r="D51" s="15">
        <v>95.0</v>
      </c>
      <c r="E51" s="16">
        <f t="shared" si="1"/>
        <v>95</v>
      </c>
      <c r="F51" s="14" t="s">
        <v>87</v>
      </c>
      <c r="G51" s="17" t="s">
        <v>125</v>
      </c>
      <c r="H51" s="23" t="s">
        <v>12</v>
      </c>
      <c r="I51" s="12"/>
    </row>
    <row r="52">
      <c r="A52" s="5">
        <v>47.0</v>
      </c>
      <c r="B52" s="7" t="s">
        <v>126</v>
      </c>
      <c r="C52" s="7">
        <v>5.0</v>
      </c>
      <c r="D52" s="8">
        <v>46.0</v>
      </c>
      <c r="E52" s="9">
        <f t="shared" si="1"/>
        <v>230</v>
      </c>
      <c r="F52" s="7" t="s">
        <v>87</v>
      </c>
      <c r="G52" s="10" t="s">
        <v>127</v>
      </c>
      <c r="H52" s="21" t="s">
        <v>12</v>
      </c>
      <c r="I52" s="5"/>
    </row>
    <row r="53">
      <c r="A53" s="12">
        <v>48.0</v>
      </c>
      <c r="B53" s="14" t="s">
        <v>128</v>
      </c>
      <c r="C53" s="14">
        <v>5.0</v>
      </c>
      <c r="D53" s="15">
        <v>46.0</v>
      </c>
      <c r="E53" s="16">
        <f t="shared" si="1"/>
        <v>230</v>
      </c>
      <c r="F53" s="14" t="s">
        <v>87</v>
      </c>
      <c r="G53" s="17" t="s">
        <v>129</v>
      </c>
      <c r="H53" s="23" t="s">
        <v>12</v>
      </c>
      <c r="I53" s="12"/>
    </row>
    <row r="54">
      <c r="A54" s="5">
        <v>49.0</v>
      </c>
      <c r="B54" s="7" t="s">
        <v>130</v>
      </c>
      <c r="C54" s="7">
        <v>5.0</v>
      </c>
      <c r="D54" s="8">
        <v>7.0</v>
      </c>
      <c r="E54" s="9">
        <f t="shared" si="1"/>
        <v>35</v>
      </c>
      <c r="F54" s="7" t="s">
        <v>87</v>
      </c>
      <c r="G54" s="10" t="s">
        <v>131</v>
      </c>
      <c r="H54" s="21" t="s">
        <v>12</v>
      </c>
      <c r="I54" s="5"/>
    </row>
    <row r="55">
      <c r="A55" s="12">
        <v>50.0</v>
      </c>
      <c r="B55" s="14" t="s">
        <v>132</v>
      </c>
      <c r="C55" s="14">
        <v>5.0</v>
      </c>
      <c r="D55" s="15">
        <v>7.0</v>
      </c>
      <c r="E55" s="16">
        <f t="shared" si="1"/>
        <v>35</v>
      </c>
      <c r="F55" s="14" t="s">
        <v>87</v>
      </c>
      <c r="G55" s="17" t="s">
        <v>133</v>
      </c>
      <c r="H55" s="23" t="s">
        <v>12</v>
      </c>
      <c r="I55" s="12"/>
    </row>
    <row r="56">
      <c r="A56" s="5">
        <v>54.0</v>
      </c>
      <c r="B56" s="7" t="s">
        <v>134</v>
      </c>
      <c r="C56" s="7">
        <v>1.0</v>
      </c>
      <c r="D56" s="8">
        <v>768.0</v>
      </c>
      <c r="E56" s="9">
        <f t="shared" si="1"/>
        <v>768</v>
      </c>
      <c r="F56" s="43" t="s">
        <v>87</v>
      </c>
      <c r="G56" s="20" t="s">
        <v>135</v>
      </c>
      <c r="H56" s="21" t="s">
        <v>12</v>
      </c>
      <c r="I56" s="5"/>
    </row>
    <row r="57">
      <c r="A57" s="12">
        <v>55.0</v>
      </c>
      <c r="B57" s="14"/>
      <c r="C57" s="14"/>
      <c r="D57" s="15"/>
      <c r="E57" s="16">
        <f t="shared" si="1"/>
        <v>0</v>
      </c>
      <c r="F57" s="14"/>
      <c r="G57" s="17"/>
      <c r="H57" s="23"/>
      <c r="I57" s="12"/>
    </row>
    <row r="58">
      <c r="A58" s="44" t="s">
        <v>136</v>
      </c>
      <c r="B58" s="45"/>
      <c r="C58" s="46"/>
      <c r="D58" s="45"/>
      <c r="E58" s="47">
        <f>SUM($E2:$E57)</f>
        <v>71041</v>
      </c>
      <c r="F58" s="46"/>
      <c r="G58" s="48"/>
      <c r="H58" s="48"/>
      <c r="I58" s="45"/>
    </row>
    <row r="62" hidden="1"/>
    <row r="63" hidden="1"/>
    <row r="64" hidden="1"/>
    <row r="65" hidden="1"/>
    <row r="66" hidden="1"/>
    <row r="67" hidden="1"/>
    <row r="68" hidden="1"/>
    <row r="69" hidden="1"/>
    <row r="70" hidden="1"/>
    <row r="71" hidden="1"/>
    <row r="72" hidden="1"/>
    <row r="73" hidden="1"/>
    <row r="74" hidden="1"/>
    <row r="75" hidden="1"/>
    <row r="76" hidden="1"/>
    <row r="77" hidden="1"/>
    <row r="78" hidden="1"/>
    <row r="79" hidden="1"/>
    <row r="80" hidden="1"/>
    <row r="81" hidden="1"/>
    <row r="82" hidden="1"/>
    <row r="83" hidden="1"/>
    <row r="84" hidden="1"/>
    <row r="85" hidden="1"/>
    <row r="86" hidden="1"/>
    <row r="87" hidden="1"/>
    <row r="88" hidden="1"/>
    <row r="89" hidden="1"/>
    <row r="90" hidden="1"/>
    <row r="91" hidden="1"/>
    <row r="92" hidden="1"/>
    <row r="93" hidden="1"/>
    <row r="94" hidden="1"/>
    <row r="95" hidden="1"/>
    <row r="96" hidden="1"/>
    <row r="97" hidden="1"/>
    <row r="98" hidden="1"/>
    <row r="99" hidden="1"/>
    <row r="100" hidden="1"/>
    <row r="101" hidden="1"/>
    <row r="102" hidden="1"/>
    <row r="103" hidden="1"/>
    <row r="104" hidden="1"/>
    <row r="105" hidden="1"/>
    <row r="106" hidden="1"/>
    <row r="107" hidden="1"/>
    <row r="108" hidden="1"/>
    <row r="109" hidden="1"/>
    <row r="110" hidden="1"/>
    <row r="111" hidden="1"/>
    <row r="112" hidden="1"/>
    <row r="113" hidden="1"/>
    <row r="114" hidden="1"/>
    <row r="115" hidden="1"/>
    <row r="116" hidden="1"/>
    <row r="117" hidden="1"/>
    <row r="118" hidden="1"/>
    <row r="119" hidden="1"/>
    <row r="120" hidden="1"/>
    <row r="121" hidden="1"/>
    <row r="122" hidden="1"/>
    <row r="123" hidden="1"/>
    <row r="124" hidden="1"/>
    <row r="125" hidden="1"/>
    <row r="126" hidden="1"/>
    <row r="127" hidden="1"/>
    <row r="128" hidden="1"/>
    <row r="129" hidden="1"/>
    <row r="130" hidden="1"/>
    <row r="131" hidden="1"/>
    <row r="132" hidden="1"/>
    <row r="133" hidden="1"/>
    <row r="134" hidden="1"/>
    <row r="135" hidden="1"/>
    <row r="136" hidden="1"/>
    <row r="137" hidden="1"/>
    <row r="138" hidden="1"/>
    <row r="139" hidden="1"/>
    <row r="140" hidden="1"/>
    <row r="141" hidden="1"/>
    <row r="142" hidden="1"/>
    <row r="143" hidden="1"/>
    <row r="144" hidden="1"/>
    <row r="145" hidden="1"/>
    <row r="146" hidden="1"/>
    <row r="147" hidden="1"/>
    <row r="148" hidden="1"/>
    <row r="149" hidden="1"/>
    <row r="150" hidden="1"/>
    <row r="151" hidden="1"/>
    <row r="152" hidden="1"/>
    <row r="153" hidden="1"/>
    <row r="154" hidden="1"/>
    <row r="155" hidden="1"/>
    <row r="156" hidden="1"/>
    <row r="157" hidden="1"/>
    <row r="158" hidden="1"/>
    <row r="159" hidden="1"/>
    <row r="160" hidden="1"/>
    <row r="161" hidden="1"/>
    <row r="162" hidden="1"/>
    <row r="163" hidden="1"/>
    <row r="164" hidden="1"/>
    <row r="165" hidden="1"/>
    <row r="166" hidden="1"/>
    <row r="167" hidden="1"/>
    <row r="168" hidden="1"/>
    <row r="169" hidden="1"/>
    <row r="170" hidden="1"/>
    <row r="171" hidden="1"/>
    <row r="172" hidden="1"/>
    <row r="173" hidden="1"/>
    <row r="174" hidden="1"/>
    <row r="175" hidden="1"/>
    <row r="176" hidden="1"/>
    <row r="177" hidden="1"/>
    <row r="178" hidden="1"/>
    <row r="179" hidden="1"/>
    <row r="180" hidden="1"/>
    <row r="181" hidden="1"/>
    <row r="182" hidden="1"/>
    <row r="183" hidden="1"/>
    <row r="184" hidden="1"/>
    <row r="185" hidden="1"/>
    <row r="186" hidden="1"/>
    <row r="187" hidden="1"/>
    <row r="188" hidden="1"/>
    <row r="189" hidden="1"/>
    <row r="190" hidden="1"/>
    <row r="191" hidden="1"/>
    <row r="192" hidden="1"/>
    <row r="193" hidden="1"/>
    <row r="194" hidden="1"/>
    <row r="195" hidden="1"/>
    <row r="196" hidden="1"/>
    <row r="197" hidden="1"/>
    <row r="198" hidden="1"/>
    <row r="199" hidden="1"/>
    <row r="200" hidden="1"/>
    <row r="201" hidden="1"/>
    <row r="202" hidden="1"/>
    <row r="203" hidden="1"/>
    <row r="204" hidden="1"/>
    <row r="205" hidden="1"/>
    <row r="206" hidden="1"/>
    <row r="207" hidden="1"/>
    <row r="208" hidden="1"/>
    <row r="209" hidden="1"/>
    <row r="210" hidden="1"/>
    <row r="211" hidden="1"/>
    <row r="212" hidden="1"/>
    <row r="213" hidden="1"/>
    <row r="214" hidden="1"/>
    <row r="215" hidden="1"/>
    <row r="216" hidden="1"/>
    <row r="217" hidden="1"/>
    <row r="218" hidden="1"/>
    <row r="219" hidden="1"/>
    <row r="220" hidden="1"/>
    <row r="221" hidden="1"/>
    <row r="222" hidden="1"/>
    <row r="223" hidden="1"/>
    <row r="224" hidden="1"/>
    <row r="225" hidden="1"/>
    <row r="226" hidden="1"/>
    <row r="227" hidden="1"/>
    <row r="228" hidden="1"/>
    <row r="229" hidden="1"/>
    <row r="230" hidden="1"/>
    <row r="231" hidden="1"/>
    <row r="232" hidden="1"/>
    <row r="233" hidden="1"/>
    <row r="234" hidden="1"/>
    <row r="235" hidden="1"/>
    <row r="236" hidden="1"/>
    <row r="237" hidden="1"/>
    <row r="238" hidden="1"/>
    <row r="239" hidden="1"/>
    <row r="240" hidden="1"/>
    <row r="241" hidden="1"/>
    <row r="242" hidden="1"/>
    <row r="243" hidden="1"/>
    <row r="244" hidden="1"/>
    <row r="245" hidden="1"/>
    <row r="246" hidden="1"/>
    <row r="247" hidden="1"/>
    <row r="248" hidden="1"/>
    <row r="249" hidden="1"/>
    <row r="250" hidden="1"/>
    <row r="251" hidden="1"/>
    <row r="252" hidden="1"/>
    <row r="253" hidden="1"/>
    <row r="254" hidden="1"/>
    <row r="255" hidden="1"/>
    <row r="256" hidden="1"/>
    <row r="257" hidden="1"/>
    <row r="258" hidden="1"/>
    <row r="259" hidden="1"/>
    <row r="260" hidden="1"/>
    <row r="261" hidden="1"/>
    <row r="262" hidden="1"/>
    <row r="263" hidden="1"/>
    <row r="264" hidden="1"/>
    <row r="265" hidden="1"/>
    <row r="266" hidden="1"/>
    <row r="267" hidden="1"/>
    <row r="268" hidden="1"/>
    <row r="269" hidden="1"/>
    <row r="270" hidden="1"/>
    <row r="271" hidden="1"/>
    <row r="272" hidden="1"/>
    <row r="273" hidden="1"/>
    <row r="274" hidden="1"/>
    <row r="275" hidden="1"/>
    <row r="276" hidden="1"/>
    <row r="277" hidden="1"/>
    <row r="278" hidden="1"/>
    <row r="279" hidden="1"/>
    <row r="280" hidden="1"/>
    <row r="281" hidden="1"/>
    <row r="282" hidden="1"/>
    <row r="283" hidden="1"/>
    <row r="284" hidden="1"/>
    <row r="285" hidden="1"/>
    <row r="286" hidden="1"/>
    <row r="287" hidden="1"/>
    <row r="288" hidden="1"/>
    <row r="289" hidden="1"/>
    <row r="290" hidden="1"/>
    <row r="291" hidden="1"/>
    <row r="292" hidden="1"/>
    <row r="293" hidden="1"/>
    <row r="294" hidden="1"/>
    <row r="295" hidden="1"/>
    <row r="296" hidden="1"/>
    <row r="297" hidden="1"/>
    <row r="298" hidden="1"/>
    <row r="299" hidden="1"/>
    <row r="300" hidden="1"/>
    <row r="301" hidden="1"/>
    <row r="302" hidden="1"/>
    <row r="303" hidden="1"/>
    <row r="304" hidden="1"/>
    <row r="305" hidden="1"/>
    <row r="306" hidden="1"/>
    <row r="307" hidden="1"/>
    <row r="308" hidden="1"/>
    <row r="309" hidden="1"/>
    <row r="310" hidden="1"/>
    <row r="311" hidden="1"/>
    <row r="312" hidden="1"/>
    <row r="313" hidden="1"/>
    <row r="314" hidden="1"/>
    <row r="315" hidden="1"/>
    <row r="316" hidden="1"/>
    <row r="317" hidden="1"/>
    <row r="318" hidden="1"/>
    <row r="319" hidden="1"/>
    <row r="320" hidden="1"/>
    <row r="321" hidden="1"/>
    <row r="322" hidden="1"/>
    <row r="323" hidden="1"/>
    <row r="324" hidden="1"/>
    <row r="325" hidden="1"/>
    <row r="326" hidden="1"/>
    <row r="327" hidden="1"/>
    <row r="328" hidden="1"/>
    <row r="329" hidden="1"/>
    <row r="330" hidden="1"/>
    <row r="331" hidden="1"/>
    <row r="332" hidden="1"/>
    <row r="333" hidden="1"/>
    <row r="334" hidden="1"/>
    <row r="335" hidden="1"/>
    <row r="336" hidden="1"/>
    <row r="337" hidden="1"/>
    <row r="338" hidden="1"/>
    <row r="339" hidden="1"/>
    <row r="340" hidden="1"/>
    <row r="341" hidden="1"/>
    <row r="342" hidden="1"/>
    <row r="343" hidden="1"/>
    <row r="344" hidden="1"/>
    <row r="345" hidden="1"/>
    <row r="346" hidden="1"/>
    <row r="347" hidden="1"/>
    <row r="348" hidden="1"/>
    <row r="349" hidden="1"/>
    <row r="350" hidden="1"/>
    <row r="351" hidden="1"/>
    <row r="352" hidden="1"/>
    <row r="353" hidden="1"/>
    <row r="354" hidden="1"/>
    <row r="355" hidden="1"/>
    <row r="356" hidden="1"/>
    <row r="357" hidden="1"/>
    <row r="358" hidden="1"/>
    <row r="359" hidden="1"/>
    <row r="360" hidden="1"/>
    <row r="361" hidden="1"/>
    <row r="362" hidden="1"/>
    <row r="363" hidden="1"/>
    <row r="364" hidden="1"/>
    <row r="365" hidden="1"/>
    <row r="366" hidden="1"/>
    <row r="367" hidden="1"/>
    <row r="368" hidden="1"/>
    <row r="369" hidden="1"/>
    <row r="370" hidden="1"/>
    <row r="371" hidden="1"/>
    <row r="372" hidden="1"/>
    <row r="373" hidden="1"/>
    <row r="374" hidden="1"/>
    <row r="375" hidden="1"/>
    <row r="376" hidden="1"/>
    <row r="377" hidden="1"/>
    <row r="378" hidden="1"/>
    <row r="379" hidden="1"/>
    <row r="380" hidden="1"/>
    <row r="381" hidden="1"/>
    <row r="382" hidden="1"/>
    <row r="383" hidden="1"/>
    <row r="384" hidden="1"/>
    <row r="385" hidden="1"/>
    <row r="386" hidden="1"/>
    <row r="387" hidden="1"/>
    <row r="388" hidden="1"/>
    <row r="389" hidden="1"/>
    <row r="390" hidden="1"/>
    <row r="391" hidden="1"/>
    <row r="392" hidden="1"/>
    <row r="393" hidden="1"/>
    <row r="394" hidden="1"/>
    <row r="395" hidden="1"/>
    <row r="396" hidden="1"/>
    <row r="397" hidden="1"/>
    <row r="398" hidden="1"/>
    <row r="399" hidden="1"/>
    <row r="400" hidden="1"/>
    <row r="401" hidden="1"/>
    <row r="402" hidden="1"/>
    <row r="403" hidden="1"/>
    <row r="404" hidden="1"/>
    <row r="405" hidden="1"/>
    <row r="406" hidden="1"/>
    <row r="407" hidden="1"/>
    <row r="408" hidden="1"/>
    <row r="409" hidden="1"/>
    <row r="410" hidden="1"/>
    <row r="411" hidden="1"/>
    <row r="412" hidden="1"/>
    <row r="413" hidden="1"/>
    <row r="414" hidden="1"/>
    <row r="415" hidden="1"/>
    <row r="416" hidden="1"/>
    <row r="417" hidden="1"/>
    <row r="418" hidden="1"/>
    <row r="419" hidden="1"/>
    <row r="420" hidden="1"/>
    <row r="421" hidden="1"/>
    <row r="422" hidden="1"/>
    <row r="423" hidden="1"/>
    <row r="424" hidden="1"/>
    <row r="425" hidden="1"/>
    <row r="426" hidden="1"/>
    <row r="427" hidden="1"/>
    <row r="428" hidden="1"/>
    <row r="429" hidden="1"/>
    <row r="430" hidden="1"/>
    <row r="431" hidden="1"/>
    <row r="432" hidden="1"/>
    <row r="433" hidden="1"/>
    <row r="434" hidden="1"/>
    <row r="435" hidden="1"/>
    <row r="436" hidden="1"/>
    <row r="437" hidden="1"/>
    <row r="438" hidden="1"/>
    <row r="439" hidden="1"/>
    <row r="440" hidden="1"/>
    <row r="441" hidden="1"/>
    <row r="442" hidden="1"/>
    <row r="443" hidden="1"/>
    <row r="444" hidden="1"/>
    <row r="445" hidden="1"/>
    <row r="446" hidden="1"/>
    <row r="447" hidden="1"/>
    <row r="448" hidden="1"/>
    <row r="449" hidden="1"/>
    <row r="450" hidden="1"/>
    <row r="451" hidden="1"/>
    <row r="452" hidden="1"/>
    <row r="453" hidden="1"/>
    <row r="454" hidden="1"/>
    <row r="455" hidden="1"/>
    <row r="456" hidden="1"/>
    <row r="457" hidden="1"/>
    <row r="458" hidden="1"/>
    <row r="459" hidden="1"/>
    <row r="460" hidden="1"/>
    <row r="461" hidden="1"/>
    <row r="462" hidden="1"/>
    <row r="463" hidden="1"/>
    <row r="464" hidden="1"/>
    <row r="465" hidden="1"/>
    <row r="466" hidden="1"/>
    <row r="467" hidden="1"/>
    <row r="468" hidden="1"/>
    <row r="469" hidden="1"/>
    <row r="470" hidden="1"/>
    <row r="471" hidden="1"/>
    <row r="472" hidden="1"/>
    <row r="473" hidden="1"/>
    <row r="474" hidden="1"/>
    <row r="475" hidden="1"/>
    <row r="476" hidden="1"/>
    <row r="477" hidden="1"/>
    <row r="478" hidden="1"/>
    <row r="479" hidden="1"/>
    <row r="480" hidden="1"/>
    <row r="481" hidden="1"/>
    <row r="482" hidden="1"/>
    <row r="483" hidden="1"/>
    <row r="484" hidden="1"/>
    <row r="485" hidden="1"/>
    <row r="486" hidden="1"/>
    <row r="487" hidden="1"/>
    <row r="488" hidden="1"/>
    <row r="489" hidden="1"/>
    <row r="490" hidden="1"/>
    <row r="491" hidden="1"/>
    <row r="492" hidden="1"/>
    <row r="493" hidden="1"/>
    <row r="494" hidden="1"/>
    <row r="495" hidden="1"/>
    <row r="496" hidden="1"/>
    <row r="497" hidden="1"/>
    <row r="498" hidden="1"/>
    <row r="499" hidden="1"/>
    <row r="500" hidden="1"/>
    <row r="501" hidden="1"/>
    <row r="502" hidden="1"/>
    <row r="503" hidden="1"/>
    <row r="504" hidden="1"/>
    <row r="505" hidden="1"/>
    <row r="506" hidden="1"/>
    <row r="507" hidden="1"/>
    <row r="508" hidden="1"/>
    <row r="509" hidden="1"/>
    <row r="510" hidden="1"/>
    <row r="511" hidden="1"/>
    <row r="512" hidden="1"/>
    <row r="513" hidden="1"/>
    <row r="514" hidden="1"/>
    <row r="515" hidden="1"/>
    <row r="516" hidden="1"/>
    <row r="517" hidden="1"/>
    <row r="518" hidden="1"/>
    <row r="519" hidden="1"/>
    <row r="520" hidden="1"/>
    <row r="521" hidden="1"/>
    <row r="522" hidden="1"/>
    <row r="523" hidden="1"/>
    <row r="524" hidden="1"/>
    <row r="525" hidden="1"/>
    <row r="526" hidden="1"/>
    <row r="527" hidden="1"/>
    <row r="528" hidden="1"/>
    <row r="529" hidden="1"/>
    <row r="530" hidden="1"/>
    <row r="531" hidden="1"/>
    <row r="532" hidden="1"/>
    <row r="533" hidden="1"/>
    <row r="534" hidden="1"/>
    <row r="535" hidden="1"/>
    <row r="536" hidden="1"/>
    <row r="537" hidden="1"/>
    <row r="538" hidden="1"/>
    <row r="539" hidden="1"/>
    <row r="540" hidden="1"/>
    <row r="541" hidden="1"/>
    <row r="542" hidden="1"/>
    <row r="543" hidden="1"/>
    <row r="544" hidden="1"/>
    <row r="545" hidden="1"/>
    <row r="546" hidden="1"/>
    <row r="547" hidden="1"/>
    <row r="548" hidden="1"/>
    <row r="549" hidden="1"/>
    <row r="550" hidden="1"/>
    <row r="551" hidden="1"/>
    <row r="552" hidden="1"/>
    <row r="553" hidden="1"/>
    <row r="554" hidden="1"/>
    <row r="555" hidden="1"/>
    <row r="556" hidden="1"/>
    <row r="557" hidden="1"/>
    <row r="558" hidden="1"/>
    <row r="559" hidden="1"/>
    <row r="560" hidden="1"/>
    <row r="561" hidden="1"/>
    <row r="562" hidden="1"/>
    <row r="563" hidden="1"/>
    <row r="564" hidden="1"/>
    <row r="565" hidden="1"/>
    <row r="566" hidden="1"/>
    <row r="567" hidden="1"/>
    <row r="568" hidden="1"/>
    <row r="569" hidden="1"/>
    <row r="570" hidden="1"/>
    <row r="571" hidden="1"/>
    <row r="572" hidden="1"/>
    <row r="573" hidden="1"/>
    <row r="574" hidden="1"/>
    <row r="575" hidden="1"/>
    <row r="576" hidden="1"/>
    <row r="577" hidden="1"/>
    <row r="578" hidden="1"/>
    <row r="579" hidden="1"/>
    <row r="580" hidden="1"/>
    <row r="581" hidden="1"/>
    <row r="582" hidden="1"/>
    <row r="583" hidden="1"/>
    <row r="584" hidden="1"/>
    <row r="585" hidden="1"/>
    <row r="586" hidden="1"/>
    <row r="587" hidden="1"/>
    <row r="588" hidden="1"/>
    <row r="589" hidden="1"/>
    <row r="590" hidden="1"/>
    <row r="591" hidden="1"/>
    <row r="592" hidden="1"/>
    <row r="593" hidden="1"/>
    <row r="594" hidden="1"/>
    <row r="595" hidden="1"/>
    <row r="596" hidden="1"/>
    <row r="597" hidden="1"/>
    <row r="598" hidden="1"/>
    <row r="599" hidden="1"/>
    <row r="600" hidden="1"/>
    <row r="601" hidden="1"/>
    <row r="602" hidden="1"/>
    <row r="603" hidden="1"/>
    <row r="604" hidden="1"/>
    <row r="605" hidden="1"/>
    <row r="606" hidden="1"/>
    <row r="607" hidden="1"/>
    <row r="608" hidden="1"/>
    <row r="609" hidden="1"/>
    <row r="610" hidden="1"/>
    <row r="611" hidden="1"/>
    <row r="612" hidden="1"/>
    <row r="613" hidden="1"/>
    <row r="614" hidden="1"/>
    <row r="615" hidden="1"/>
    <row r="616" hidden="1"/>
    <row r="617" hidden="1"/>
    <row r="618" hidden="1"/>
    <row r="619" hidden="1"/>
    <row r="620" hidden="1"/>
    <row r="621" hidden="1"/>
    <row r="622" hidden="1"/>
    <row r="623" hidden="1"/>
    <row r="624" hidden="1"/>
    <row r="625" hidden="1"/>
    <row r="626" hidden="1"/>
    <row r="627" hidden="1"/>
    <row r="628" hidden="1"/>
    <row r="629" hidden="1"/>
    <row r="630" hidden="1"/>
    <row r="631" hidden="1"/>
    <row r="632" hidden="1"/>
    <row r="633" hidden="1"/>
    <row r="634" hidden="1"/>
    <row r="635" hidden="1"/>
    <row r="636" hidden="1"/>
    <row r="637" hidden="1"/>
    <row r="638" hidden="1"/>
    <row r="639" hidden="1"/>
    <row r="640" hidden="1"/>
    <row r="641" hidden="1"/>
    <row r="642" hidden="1"/>
    <row r="643" hidden="1"/>
    <row r="644" hidden="1"/>
    <row r="645" hidden="1"/>
    <row r="646" hidden="1"/>
    <row r="647" hidden="1"/>
    <row r="648" hidden="1"/>
    <row r="649" hidden="1"/>
    <row r="650" hidden="1"/>
    <row r="651" hidden="1"/>
    <row r="652" hidden="1"/>
    <row r="653" hidden="1"/>
    <row r="654" hidden="1"/>
    <row r="655" hidden="1"/>
    <row r="656" hidden="1"/>
    <row r="657" hidden="1"/>
    <row r="658" hidden="1"/>
    <row r="659" hidden="1"/>
    <row r="660" hidden="1"/>
    <row r="661" hidden="1"/>
    <row r="662" hidden="1"/>
    <row r="663" hidden="1"/>
    <row r="664" hidden="1"/>
    <row r="665" hidden="1"/>
    <row r="666" hidden="1"/>
    <row r="667" hidden="1"/>
    <row r="668" hidden="1"/>
    <row r="669" hidden="1"/>
    <row r="670" hidden="1"/>
    <row r="671" hidden="1"/>
    <row r="672" hidden="1"/>
    <row r="673" hidden="1"/>
    <row r="674" hidden="1"/>
    <row r="675" hidden="1"/>
    <row r="676" hidden="1"/>
    <row r="677" hidden="1"/>
    <row r="678" hidden="1"/>
    <row r="679" hidden="1"/>
    <row r="680" hidden="1"/>
    <row r="681" hidden="1"/>
    <row r="682" hidden="1"/>
    <row r="683" hidden="1"/>
    <row r="684" hidden="1"/>
    <row r="685" hidden="1"/>
    <row r="686" hidden="1"/>
    <row r="687" hidden="1"/>
    <row r="688" hidden="1"/>
    <row r="689" hidden="1"/>
    <row r="690" hidden="1"/>
    <row r="691" hidden="1"/>
    <row r="692" hidden="1"/>
    <row r="693" hidden="1"/>
    <row r="694" hidden="1"/>
    <row r="695" hidden="1"/>
    <row r="696" hidden="1"/>
    <row r="697" hidden="1"/>
    <row r="698" hidden="1"/>
    <row r="699" hidden="1"/>
    <row r="700" hidden="1"/>
    <row r="701" hidden="1"/>
    <row r="702" hidden="1"/>
    <row r="703" hidden="1"/>
    <row r="704" hidden="1"/>
    <row r="705" hidden="1"/>
    <row r="706" hidden="1"/>
    <row r="707" hidden="1"/>
    <row r="708" hidden="1"/>
    <row r="709" hidden="1"/>
    <row r="710" hidden="1"/>
    <row r="711" hidden="1"/>
    <row r="712" hidden="1"/>
    <row r="713" hidden="1"/>
    <row r="714" hidden="1"/>
    <row r="715" hidden="1"/>
    <row r="716" hidden="1"/>
    <row r="717" hidden="1"/>
    <row r="718" hidden="1"/>
    <row r="719" hidden="1"/>
    <row r="720" hidden="1"/>
    <row r="721" hidden="1"/>
    <row r="722" hidden="1"/>
    <row r="723" hidden="1"/>
    <row r="724" hidden="1"/>
    <row r="725" hidden="1"/>
    <row r="726" hidden="1"/>
    <row r="727" hidden="1"/>
    <row r="728" hidden="1"/>
    <row r="729" hidden="1"/>
    <row r="730" hidden="1"/>
    <row r="731" hidden="1"/>
    <row r="732" hidden="1"/>
    <row r="733" hidden="1"/>
    <row r="734" hidden="1"/>
    <row r="735" hidden="1"/>
    <row r="736" hidden="1"/>
    <row r="737" hidden="1"/>
    <row r="738" hidden="1"/>
    <row r="739" hidden="1"/>
    <row r="740" hidden="1"/>
    <row r="741" hidden="1"/>
    <row r="742" hidden="1"/>
    <row r="743" hidden="1"/>
    <row r="744" hidden="1"/>
    <row r="745" hidden="1"/>
    <row r="746" hidden="1"/>
    <row r="747" hidden="1"/>
    <row r="748" hidden="1"/>
    <row r="749" hidden="1"/>
    <row r="750" hidden="1"/>
    <row r="751" hidden="1"/>
    <row r="752" hidden="1"/>
    <row r="753" hidden="1"/>
    <row r="754" hidden="1"/>
    <row r="755" hidden="1"/>
    <row r="756" hidden="1"/>
    <row r="757" hidden="1"/>
    <row r="758" hidden="1"/>
    <row r="759" hidden="1"/>
    <row r="760" hidden="1"/>
    <row r="761" hidden="1"/>
    <row r="762" hidden="1"/>
    <row r="763" hidden="1"/>
    <row r="764" hidden="1"/>
    <row r="765" hidden="1"/>
    <row r="766" hidden="1"/>
    <row r="767" hidden="1"/>
    <row r="768" hidden="1"/>
    <row r="769" hidden="1"/>
    <row r="770" hidden="1"/>
    <row r="771" hidden="1"/>
    <row r="772" hidden="1"/>
    <row r="773" hidden="1"/>
    <row r="774" hidden="1"/>
    <row r="775" hidden="1"/>
    <row r="776" hidden="1"/>
    <row r="777" hidden="1"/>
    <row r="778" hidden="1"/>
    <row r="779" hidden="1"/>
    <row r="780" hidden="1"/>
    <row r="781" hidden="1"/>
    <row r="782" hidden="1"/>
    <row r="783" hidden="1"/>
    <row r="784" hidden="1"/>
    <row r="785" hidden="1"/>
    <row r="786" hidden="1"/>
    <row r="787" hidden="1"/>
    <row r="788" hidden="1"/>
    <row r="789" hidden="1"/>
    <row r="790" hidden="1"/>
    <row r="791" hidden="1"/>
    <row r="792" hidden="1"/>
    <row r="793" hidden="1"/>
    <row r="794" hidden="1"/>
    <row r="795" hidden="1"/>
    <row r="796" hidden="1"/>
    <row r="797" hidden="1"/>
    <row r="798" hidden="1"/>
    <row r="799" hidden="1"/>
    <row r="800" hidden="1"/>
    <row r="801" hidden="1"/>
    <row r="802" hidden="1"/>
    <row r="803" hidden="1"/>
    <row r="804" hidden="1"/>
    <row r="805" hidden="1"/>
    <row r="806" hidden="1"/>
    <row r="807" hidden="1"/>
    <row r="808" hidden="1"/>
    <row r="809" hidden="1"/>
    <row r="810" hidden="1"/>
    <row r="811" hidden="1"/>
    <row r="812" hidden="1"/>
    <row r="813" hidden="1"/>
    <row r="814" hidden="1"/>
    <row r="815" hidden="1"/>
    <row r="816" hidden="1"/>
    <row r="817" hidden="1"/>
    <row r="818" hidden="1"/>
    <row r="819" hidden="1"/>
    <row r="820" hidden="1"/>
    <row r="821" hidden="1"/>
    <row r="822" hidden="1"/>
    <row r="823" hidden="1"/>
    <row r="824" hidden="1"/>
    <row r="825" hidden="1"/>
    <row r="826" hidden="1"/>
    <row r="827" hidden="1"/>
    <row r="828" hidden="1"/>
    <row r="829" hidden="1"/>
    <row r="830" hidden="1"/>
    <row r="831" hidden="1"/>
    <row r="832" hidden="1"/>
    <row r="833" hidden="1"/>
    <row r="834" hidden="1"/>
    <row r="835" hidden="1"/>
    <row r="836" hidden="1"/>
    <row r="837" hidden="1"/>
    <row r="838" hidden="1"/>
    <row r="839" hidden="1"/>
    <row r="840" hidden="1"/>
    <row r="841" hidden="1"/>
    <row r="842" hidden="1"/>
    <row r="843" hidden="1"/>
    <row r="844" hidden="1"/>
    <row r="845" hidden="1"/>
    <row r="846" hidden="1"/>
    <row r="847" hidden="1"/>
    <row r="848" hidden="1"/>
    <row r="849" hidden="1"/>
    <row r="850" hidden="1"/>
    <row r="851" hidden="1"/>
    <row r="852" hidden="1"/>
    <row r="853" hidden="1"/>
    <row r="854" hidden="1"/>
    <row r="855" hidden="1"/>
    <row r="856" hidden="1"/>
    <row r="857" hidden="1"/>
    <row r="858" hidden="1"/>
    <row r="859" hidden="1"/>
    <row r="860" hidden="1"/>
    <row r="861" hidden="1"/>
    <row r="862" hidden="1"/>
    <row r="863" hidden="1"/>
    <row r="864" hidden="1"/>
    <row r="865" hidden="1"/>
    <row r="866" hidden="1"/>
    <row r="867" hidden="1"/>
    <row r="868" hidden="1"/>
    <row r="869" hidden="1"/>
    <row r="870" hidden="1"/>
    <row r="871" hidden="1"/>
    <row r="872" hidden="1"/>
    <row r="873" hidden="1"/>
    <row r="874" hidden="1"/>
    <row r="875" hidden="1"/>
    <row r="876" hidden="1"/>
    <row r="877" hidden="1"/>
    <row r="878" hidden="1"/>
    <row r="879" hidden="1"/>
    <row r="880" hidden="1"/>
    <row r="881" hidden="1"/>
    <row r="882" hidden="1"/>
    <row r="883" hidden="1"/>
    <row r="884" hidden="1"/>
    <row r="885" hidden="1"/>
    <row r="886" hidden="1"/>
    <row r="887" hidden="1"/>
    <row r="888" hidden="1"/>
    <row r="889" hidden="1"/>
    <row r="890" hidden="1"/>
    <row r="891" hidden="1"/>
    <row r="892" hidden="1"/>
    <row r="893" hidden="1"/>
    <row r="894" hidden="1"/>
    <row r="895" hidden="1"/>
    <row r="896" hidden="1"/>
    <row r="897" hidden="1"/>
    <row r="898" hidden="1"/>
    <row r="899" hidden="1"/>
    <row r="900" hidden="1"/>
    <row r="901" hidden="1"/>
    <row r="902" hidden="1"/>
    <row r="903" hidden="1"/>
    <row r="904" hidden="1"/>
    <row r="905" hidden="1"/>
    <row r="906" hidden="1"/>
    <row r="907" hidden="1"/>
    <row r="908" hidden="1"/>
    <row r="909" hidden="1"/>
    <row r="910" hidden="1"/>
    <row r="911" hidden="1"/>
    <row r="912" hidden="1"/>
    <row r="913" hidden="1"/>
    <row r="914" hidden="1"/>
    <row r="915" hidden="1"/>
    <row r="916" hidden="1"/>
    <row r="917" hidden="1"/>
    <row r="918" hidden="1"/>
    <row r="919" hidden="1"/>
    <row r="920" hidden="1"/>
    <row r="921" hidden="1"/>
    <row r="922" hidden="1"/>
    <row r="923" hidden="1"/>
    <row r="924" hidden="1"/>
    <row r="925" hidden="1"/>
    <row r="926" hidden="1"/>
    <row r="927" hidden="1"/>
    <row r="928" hidden="1"/>
    <row r="929" hidden="1"/>
    <row r="930" hidden="1"/>
    <row r="931" hidden="1"/>
    <row r="932" hidden="1"/>
    <row r="933" hidden="1"/>
    <row r="934" hidden="1"/>
    <row r="935" hidden="1"/>
    <row r="936" hidden="1"/>
    <row r="937" hidden="1"/>
    <row r="938" hidden="1"/>
    <row r="939" hidden="1"/>
    <row r="940" hidden="1"/>
    <row r="941" hidden="1"/>
    <row r="942" hidden="1"/>
    <row r="943" hidden="1"/>
    <row r="944" hidden="1"/>
    <row r="945" hidden="1"/>
    <row r="946" hidden="1"/>
    <row r="947" hidden="1"/>
    <row r="948" hidden="1"/>
    <row r="949" hidden="1"/>
    <row r="950" hidden="1"/>
    <row r="951" hidden="1"/>
    <row r="952" hidden="1"/>
    <row r="953" hidden="1"/>
    <row r="954" hidden="1"/>
    <row r="955" hidden="1"/>
    <row r="956" hidden="1"/>
    <row r="957" hidden="1"/>
    <row r="958" hidden="1"/>
    <row r="959" hidden="1"/>
    <row r="960" hidden="1"/>
    <row r="961" hidden="1"/>
    <row r="962" hidden="1"/>
    <row r="963" hidden="1"/>
    <row r="964" hidden="1"/>
    <row r="965" hidden="1"/>
    <row r="966" hidden="1"/>
    <row r="967" hidden="1"/>
    <row r="968" hidden="1"/>
    <row r="969" hidden="1"/>
    <row r="970" hidden="1"/>
    <row r="971" hidden="1"/>
    <row r="972" hidden="1"/>
    <row r="973" hidden="1"/>
    <row r="974" hidden="1"/>
    <row r="975" hidden="1"/>
    <row r="976" hidden="1"/>
    <row r="977" hidden="1"/>
    <row r="978" hidden="1"/>
    <row r="979" hidden="1"/>
    <row r="980" hidden="1"/>
    <row r="981" hidden="1"/>
    <row r="982" hidden="1"/>
    <row r="983" hidden="1"/>
    <row r="984" hidden="1"/>
    <row r="985" hidden="1"/>
    <row r="986" hidden="1"/>
    <row r="987" hidden="1"/>
    <row r="988" hidden="1"/>
    <row r="989" hidden="1"/>
    <row r="990" hidden="1"/>
    <row r="991" hidden="1"/>
    <row r="992" hidden="1"/>
    <row r="993" hidden="1"/>
    <row r="994" hidden="1"/>
    <row r="995" hidden="1"/>
    <row r="996" hidden="1"/>
    <row r="997" hidden="1"/>
    <row r="998" hidden="1"/>
    <row r="999" hidden="1"/>
    <row r="1000" hidden="1"/>
    <row r="1001" hidden="1"/>
    <row r="1002" hidden="1"/>
    <row r="1003" hidden="1"/>
    <row r="1004" hidden="1"/>
    <row r="1005" hidden="1"/>
    <row r="1006" hidden="1"/>
    <row r="1007" hidden="1"/>
    <row r="1008" hidden="1"/>
    <row r="1009" hidden="1"/>
    <row r="1010" hidden="1"/>
    <row r="1011" hidden="1"/>
    <row r="1012" hidden="1"/>
    <row r="1013" hidden="1"/>
    <row r="1014" hidden="1"/>
    <row r="1015" hidden="1"/>
    <row r="1016" hidden="1"/>
    <row r="1017" hidden="1"/>
    <row r="1018" hidden="1"/>
    <row r="1019" hidden="1"/>
    <row r="1020" hidden="1"/>
    <row r="1021" hidden="1"/>
    <row r="1022" hidden="1"/>
    <row r="1023" hidden="1"/>
    <row r="1024" hidden="1"/>
    <row r="1025" hidden="1"/>
    <row r="1026" hidden="1"/>
    <row r="1027" hidden="1"/>
    <row r="1028" hidden="1"/>
    <row r="1029" hidden="1"/>
    <row r="1030" hidden="1"/>
    <row r="1031" hidden="1"/>
    <row r="1032" hidden="1"/>
    <row r="1033" hidden="1"/>
    <row r="1034" hidden="1"/>
    <row r="1035" hidden="1"/>
    <row r="1036" hidden="1"/>
    <row r="1037" hidden="1"/>
    <row r="1038" hidden="1"/>
    <row r="1039" hidden="1"/>
    <row r="1040" hidden="1"/>
    <row r="1041" hidden="1"/>
  </sheetData>
  <autoFilter ref="$A$1:$I$58">
    <sortState ref="A1:I58">
      <sortCondition ref="F1:F58"/>
    </sortState>
  </autoFilter>
  <mergeCells count="5">
    <mergeCell ref="J1:J61"/>
    <mergeCell ref="A58:B58"/>
    <mergeCell ref="C58:D58"/>
    <mergeCell ref="F58:I58"/>
    <mergeCell ref="A59:H61"/>
  </mergeCells>
  <dataValidations>
    <dataValidation type="decimal" operator="greaterThanOrEqual" allowBlank="1" showDropDown="1" showErrorMessage="1" sqref="C2:C57">
      <formula1>0.0</formula1>
    </dataValidation>
    <dataValidation type="list" allowBlank="1" showErrorMessage="1" sqref="F2:F58">
      <formula1>"Robu,Quadkart,Rees52,Amazon,Hubtronics,FlyRobo,OnlyScrews"</formula1>
    </dataValidation>
    <dataValidation type="decimal" operator="greaterThanOrEqual" allowBlank="1" showDropDown="1" showErrorMessage="1" sqref="A2:A57">
      <formula1>1.0</formula1>
    </dataValidation>
  </dataValidations>
  <hyperlinks>
    <hyperlink r:id="rId1" ref="G2"/>
    <hyperlink r:id="rId2" ref="I2"/>
    <hyperlink r:id="rId3" ref="G3"/>
    <hyperlink r:id="rId4" ref="G4"/>
    <hyperlink r:id="rId5" ref="I4"/>
    <hyperlink r:id="rId6" ref="G5"/>
    <hyperlink r:id="rId7" ref="G6"/>
    <hyperlink r:id="rId8" ref="G7"/>
    <hyperlink r:id="rId9" ref="G8"/>
    <hyperlink r:id="rId10" ref="G9"/>
    <hyperlink r:id="rId11" ref="G10"/>
    <hyperlink r:id="rId12" ref="G11"/>
    <hyperlink r:id="rId13" ref="G12"/>
    <hyperlink r:id="rId14" ref="G13"/>
    <hyperlink r:id="rId15" ref="G14"/>
    <hyperlink r:id="rId16" ref="G15"/>
    <hyperlink r:id="rId17" ref="G16"/>
    <hyperlink r:id="rId18" ref="G17"/>
    <hyperlink r:id="rId19" ref="G18"/>
    <hyperlink r:id="rId20" ref="G19"/>
    <hyperlink r:id="rId21" ref="G20"/>
    <hyperlink r:id="rId22" ref="G21"/>
    <hyperlink r:id="rId23" ref="G22"/>
    <hyperlink r:id="rId24" ref="G23"/>
    <hyperlink r:id="rId25" ref="G24"/>
    <hyperlink r:id="rId26" ref="G25"/>
    <hyperlink r:id="rId27" ref="G26"/>
    <hyperlink r:id="rId28" ref="G27"/>
    <hyperlink r:id="rId29" ref="G28"/>
    <hyperlink r:id="rId30" ref="I28"/>
    <hyperlink r:id="rId31" ref="G29"/>
    <hyperlink r:id="rId32" ref="I29"/>
    <hyperlink r:id="rId33" ref="G30"/>
    <hyperlink r:id="rId34" ref="G31"/>
    <hyperlink r:id="rId35" ref="G32"/>
    <hyperlink r:id="rId36" ref="G33"/>
    <hyperlink r:id="rId37" ref="G34"/>
    <hyperlink r:id="rId38" ref="G35"/>
    <hyperlink r:id="rId39" ref="G36"/>
    <hyperlink r:id="rId40" ref="G37"/>
    <hyperlink r:id="rId41" ref="G38"/>
    <hyperlink r:id="rId42" ref="I38"/>
    <hyperlink r:id="rId43" ref="G39"/>
    <hyperlink r:id="rId44" ref="I39"/>
    <hyperlink r:id="rId45" ref="G40"/>
    <hyperlink r:id="rId46" ref="I40"/>
    <hyperlink r:id="rId47" ref="G41"/>
    <hyperlink r:id="rId48" ref="I41"/>
    <hyperlink r:id="rId49" ref="G42"/>
    <hyperlink r:id="rId50" ref="I42"/>
    <hyperlink r:id="rId51" ref="G43"/>
    <hyperlink r:id="rId52" ref="G44"/>
    <hyperlink r:id="rId53" ref="G45"/>
    <hyperlink r:id="rId54" ref="G46"/>
    <hyperlink r:id="rId55" ref="G47"/>
    <hyperlink r:id="rId56" ref="G48"/>
    <hyperlink r:id="rId57" ref="G49"/>
    <hyperlink r:id="rId58" ref="G50"/>
    <hyperlink r:id="rId59" ref="G51"/>
    <hyperlink r:id="rId60" ref="G52"/>
    <hyperlink r:id="rId61" ref="G53"/>
    <hyperlink r:id="rId62" ref="G54"/>
    <hyperlink r:id="rId63" ref="G55"/>
    <hyperlink r:id="rId64" ref="G56"/>
  </hyperlinks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6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38.38"/>
  </cols>
  <sheetData>
    <row r="1">
      <c r="A1" s="49" t="s">
        <v>137</v>
      </c>
      <c r="B1" s="49" t="s">
        <v>138</v>
      </c>
    </row>
    <row r="2">
      <c r="A2" s="49" t="s">
        <v>139</v>
      </c>
      <c r="B2" s="49" t="s">
        <v>140</v>
      </c>
    </row>
    <row r="3">
      <c r="A3" s="49" t="s">
        <v>141</v>
      </c>
      <c r="B3" s="49" t="s">
        <v>142</v>
      </c>
    </row>
    <row r="4">
      <c r="A4" s="49" t="s">
        <v>143</v>
      </c>
      <c r="B4" s="49" t="s">
        <v>144</v>
      </c>
    </row>
    <row r="5">
      <c r="A5" s="49" t="s">
        <v>145</v>
      </c>
      <c r="B5" s="49" t="s">
        <v>146</v>
      </c>
    </row>
    <row r="6">
      <c r="A6" s="49" t="s">
        <v>147</v>
      </c>
      <c r="B6" s="49" t="s">
        <v>148</v>
      </c>
    </row>
    <row r="7">
      <c r="A7" s="49" t="s">
        <v>149</v>
      </c>
      <c r="B7" s="49" t="s">
        <v>150</v>
      </c>
    </row>
    <row r="8">
      <c r="A8" s="49" t="s">
        <v>151</v>
      </c>
      <c r="B8" s="49" t="s">
        <v>152</v>
      </c>
    </row>
    <row r="9">
      <c r="A9" s="49" t="s">
        <v>153</v>
      </c>
      <c r="B9" s="49" t="s">
        <v>154</v>
      </c>
    </row>
  </sheetData>
  <drawing r:id="rId1"/>
</worksheet>
</file>